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xr:revisionPtr revIDLastSave="0" documentId="8_{042F3225-4DD5-4575-91D6-0F0B4E0AA704}" xr6:coauthVersionLast="32" xr6:coauthVersionMax="32" xr10:uidLastSave="{00000000-0000-0000-0000-000000000000}"/>
  <bookViews>
    <workbookView xWindow="0" yWindow="0" windowWidth="21570" windowHeight="7980" xr2:uid="{00000000-000D-0000-FFFF-FFFF00000000}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G5" i="1" l="1"/>
  <c r="G8" i="1"/>
  <c r="G7" i="1"/>
  <c r="G9" i="1"/>
  <c r="G11" i="1"/>
  <c r="G6" i="1"/>
  <c r="G10" i="1"/>
  <c r="G4" i="1"/>
  <c r="H5" i="1" l="1"/>
  <c r="H7" i="1"/>
  <c r="H6" i="1"/>
  <c r="H9" i="1"/>
  <c r="H8" i="1"/>
  <c r="H10" i="1"/>
  <c r="H11" i="1"/>
  <c r="H4" i="1"/>
</calcChain>
</file>

<file path=xl/sharedStrings.xml><?xml version="1.0" encoding="utf-8"?>
<sst xmlns="http://schemas.openxmlformats.org/spreadsheetml/2006/main" count="42" uniqueCount="42">
  <si>
    <r>
      <rPr>
        <b/>
        <sz val="8"/>
        <color rgb="FFFFFFFF"/>
        <rFont val="Calibri"/>
        <family val="2"/>
      </rPr>
      <t>Team</t>
    </r>
  </si>
  <si>
    <r>
      <rPr>
        <b/>
        <sz val="8"/>
        <color rgb="FFFFFFFF"/>
        <rFont val="Calibri"/>
        <family val="2"/>
      </rPr>
      <t>Matches Drew</t>
    </r>
  </si>
  <si>
    <r>
      <rPr>
        <b/>
        <sz val="8"/>
        <color rgb="FFFFFFFF"/>
        <rFont val="Calibri"/>
        <family val="2"/>
      </rPr>
      <t>Games Won</t>
    </r>
  </si>
  <si>
    <r>
      <rPr>
        <b/>
        <sz val="8"/>
        <color rgb="FFFFFFFF"/>
        <rFont val="Calibri"/>
        <family val="2"/>
      </rPr>
      <t>Games Lost</t>
    </r>
  </si>
  <si>
    <r>
      <rPr>
        <b/>
        <sz val="8"/>
        <color rgb="FFFFFFFF"/>
        <rFont val="Calibri"/>
        <family val="2"/>
      </rPr>
      <t>Premiership Points</t>
    </r>
  </si>
  <si>
    <r>
      <rPr>
        <b/>
        <sz val="8"/>
        <color rgb="FFFFFFFF"/>
        <rFont val="Calibri"/>
        <family val="2"/>
      </rPr>
      <t>Winning %</t>
    </r>
  </si>
  <si>
    <r>
      <rPr>
        <sz val="8"/>
        <rFont val="Calibri"/>
        <family val="2"/>
      </rPr>
      <t>A.Callender</t>
    </r>
  </si>
  <si>
    <r>
      <rPr>
        <sz val="8"/>
        <rFont val="Calibri"/>
        <family val="2"/>
      </rPr>
      <t>A.Taylor</t>
    </r>
  </si>
  <si>
    <r>
      <rPr>
        <sz val="8"/>
        <rFont val="Calibri"/>
        <family val="2"/>
      </rPr>
      <t>Vri-Boyle</t>
    </r>
  </si>
  <si>
    <r>
      <rPr>
        <sz val="8"/>
        <rFont val="Calibri"/>
        <family val="2"/>
      </rPr>
      <t>Vri-Angwin</t>
    </r>
  </si>
  <si>
    <r>
      <rPr>
        <sz val="8"/>
        <rFont val="Calibri"/>
        <family val="2"/>
      </rPr>
      <t>OCC-1</t>
    </r>
  </si>
  <si>
    <r>
      <rPr>
        <sz val="8"/>
        <rFont val="Calibri"/>
        <family val="2"/>
      </rPr>
      <t>A.Williams</t>
    </r>
  </si>
  <si>
    <r>
      <rPr>
        <sz val="8"/>
        <rFont val="Calibri"/>
        <family val="2"/>
      </rPr>
      <t>OCC-2</t>
    </r>
  </si>
  <si>
    <r>
      <rPr>
        <sz val="8"/>
        <rFont val="Calibri"/>
        <family val="2"/>
      </rPr>
      <t>MHS</t>
    </r>
  </si>
  <si>
    <t xml:space="preserve">Matches Won  </t>
  </si>
  <si>
    <t xml:space="preserve"> Matches Lost</t>
  </si>
  <si>
    <t>BBSA Snooker 2018 - Round 14</t>
  </si>
  <si>
    <t>Round 14</t>
  </si>
  <si>
    <t>VRI-Angwin 10 d OCC-2 2</t>
  </si>
  <si>
    <t>Dennis Nikoltsis d John Eltringham 75-46, 56-61, 65-44</t>
  </si>
  <si>
    <t>Corey Lee d Geoff Challis 38-19, 42-26 54-36</t>
  </si>
  <si>
    <t>Graeme Mysgrove d Gordon Males  46-30, 46-39, 44-3</t>
  </si>
  <si>
    <t>Dale Bridges d Mark Beer 32-24, 25-59, 50-49</t>
  </si>
  <si>
    <t>Breaks: Dennis Nikoltsis[B] - 22 John Eltringham[A] - 21</t>
  </si>
  <si>
    <t>MHS 2 lt A-Taylor 10</t>
  </si>
  <si>
    <t>Nadir Kahn lt Matt Curwood 54-46, 31-76, 36-67</t>
  </si>
  <si>
    <t>Steve Landsborough lt Luke Taylor 50-62, 55-59, 46-59</t>
  </si>
  <si>
    <t>Shane Courtney lt Rhys Godden 21-66, 53-65, 33-52</t>
  </si>
  <si>
    <t>Damian Howard d Andrew Spalding 54-31, 52-61, 60-25</t>
  </si>
  <si>
    <t>Breaks: Matt Curwood[A] - 22, 25  Luke Taylor[A] - 22, 20</t>
  </si>
  <si>
    <t>OCC-1 4 lt VRI-Boyle 8</t>
  </si>
  <si>
    <t>Wayne Clack lt Jaysen McLean 23-61, 56-14, 3-75</t>
  </si>
  <si>
    <t>Jason Crocker d Mark Curwood 55-35, 32-53, 40-26</t>
  </si>
  <si>
    <t>John Grubb lt Darien McNeice 25-65, 42-59, 40-56</t>
  </si>
  <si>
    <t>Selwyn Lahey lt Darren Levett 33-41, 14-47, 45-36</t>
  </si>
  <si>
    <t>Breaks: Wayne Clack[A] - 27  Jaysen McLean[A] - 23, 26, 29</t>
  </si>
  <si>
    <t>A-Callender 7 d A-Williams 5</t>
  </si>
  <si>
    <t>Ron Callender d Greg Allison 65-29, 58-22, 17-59</t>
  </si>
  <si>
    <t>Jamie Stevens d David Palmer 52-47, 16-45, 59-31</t>
  </si>
  <si>
    <t>Jason Smiley d Mick Williams 61-39, 37-35, 42-63</t>
  </si>
  <si>
    <t>Steve Law lt Alan Nash 3-37, 3-42, 45-27</t>
  </si>
  <si>
    <t>Breaks: Ron Callender[A] - 21  David Palmer[A]  - 21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</si>
</sst>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10" x14ac:knownFonts="1">
    <font>
      <sz val="10"/>
      <color rgb="FF000000"/>
      <name val="Times New Roman"/>
      <charset val="204"/>
    </font>
    <font>
      <sz val="10"/>
      <name val="Arial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  <family val="2"/>
    </font>
    <font>
      <b/>
      <sz val="8"/>
      <color rgb="FFFFFFFF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64" fontId="4" fillId="0" borderId="1" xfId="0" applyNumberFormat="1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164" fontId="4" fillId="0" borderId="3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0" fontId="5" fillId="3" borderId="1" xfId="0" applyNumberFormat="1" applyFont="1" applyFill="1" applyBorder="1" applyAlignment="1">
      <alignment horizontal="right" vertical="top" wrapText="1"/>
    </xf>
    <xf numFmtId="10" fontId="5" fillId="0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 wrapText="1"/>
    </xf>
    <xf numFmtId="10" fontId="5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64" formatCode="###0;#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fill>
        <patternFill patternType="solid">
          <fgColor indexed="64"/>
          <bgColor rgb="FF000000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1" totalsRowShown="0" headerRowDxfId="12" dataDxfId="10" headerRowBorderDxfId="11" tableBorderDxfId="9" totalsRowBorderDxfId="8">
  <autoFilter ref="A3:H11" xr:uid="{00000000-0009-0000-0100-000001000000}"/>
  <sortState ref="A4:H11">
    <sortCondition descending="1" ref="G4:G11"/>
    <sortCondition descending="1" ref="H4:H11"/>
  </sortState>
  <tableColumns count="8">
    <tableColumn id="1" xr3:uid="{00000000-0010-0000-0000-000001000000}" name="Team" dataDxfId="7"/>
    <tableColumn id="2" xr3:uid="{00000000-0010-0000-0000-000002000000}" name="Matches Won  " dataDxfId="6"/>
    <tableColumn id="3" xr3:uid="{00000000-0010-0000-0000-000003000000}" name=" Matches Lost" dataDxfId="5"/>
    <tableColumn id="4" xr3:uid="{00000000-0010-0000-0000-000004000000}" name="Matches Drew" dataDxfId="4"/>
    <tableColumn id="6" xr3:uid="{00000000-0010-0000-0000-000006000000}" name="Games Won" dataDxfId="3"/>
    <tableColumn id="8" xr3:uid="{00000000-0010-0000-0000-000008000000}" name="Games Lost" dataDxfId="2"/>
    <tableColumn id="10" xr3:uid="{00000000-0010-0000-0000-00000A000000}" name="Premiership Points" dataDxfId="1">
      <calculatedColumnFormula>SUM(B4*4+D4*2)</calculatedColumnFormula>
    </tableColumn>
    <tableColumn id="11" xr3:uid="{00000000-0010-0000-0000-00000B000000}" name="Winning %" dataDxfId="0">
      <calculatedColumnFormula>E4/(E4+F4)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91" zoomScaleNormal="91" workbookViewId="0">
      <selection activeCell="I3" sqref="I3:L13"/>
    </sheetView>
  </sheetViews>
  <sheetFormatPr defaultColWidth="9.33203125" defaultRowHeight="12.75" x14ac:dyDescent="0.2"/>
  <cols>
    <col min="1" max="1" width="10.5" customWidth="1"/>
    <col min="2" max="2" width="11.5" customWidth="1"/>
    <col min="3" max="3" width="11.33203125" customWidth="1"/>
    <col min="4" max="4" width="11.83203125" customWidth="1"/>
    <col min="5" max="5" width="11.5" customWidth="1"/>
    <col min="6" max="6" width="12.83203125" customWidth="1"/>
    <col min="7" max="7" width="16.5" customWidth="1"/>
    <col min="8" max="8" width="8.83203125" customWidth="1"/>
    <col min="9" max="9" width="11.5" customWidth="1"/>
    <col min="10" max="10" width="18.6640625" customWidth="1"/>
    <col min="11" max="11" width="11.83203125" customWidth="1"/>
    <col min="12" max="12" width="10.6640625" customWidth="1"/>
    <col min="13" max="13" width="33.83203125" customWidth="1"/>
  </cols>
  <sheetData>
    <row r="1" spans="1:10" ht="14.1" customHeight="1" x14ac:dyDescent="0.2">
      <c r="A1" s="1"/>
    </row>
    <row r="2" spans="1:10" ht="12" customHeight="1" x14ac:dyDescent="0.2">
      <c r="D2" s="4" t="s">
        <v>16</v>
      </c>
    </row>
    <row r="3" spans="1:10" ht="9.9499999999999993" customHeight="1" x14ac:dyDescent="0.2">
      <c r="A3" s="6" t="s">
        <v>0</v>
      </c>
      <c r="B3" s="7" t="s">
        <v>14</v>
      </c>
      <c r="C3" s="8" t="s">
        <v>15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</row>
    <row r="4" spans="1:10" ht="9.9499999999999993" customHeight="1" x14ac:dyDescent="0.2">
      <c r="A4" s="13" t="s">
        <v>6</v>
      </c>
      <c r="B4" s="14">
        <v>8</v>
      </c>
      <c r="C4" s="14">
        <v>1</v>
      </c>
      <c r="D4" s="14">
        <v>5</v>
      </c>
      <c r="E4" s="14">
        <v>96</v>
      </c>
      <c r="F4" s="14">
        <v>72</v>
      </c>
      <c r="G4" s="14">
        <f>SUM(B4*4+D4*2)</f>
        <v>42</v>
      </c>
      <c r="H4" s="15">
        <f>E4/(E4+F4)</f>
        <v>0.5714285714285714</v>
      </c>
      <c r="J4" s="12"/>
    </row>
    <row r="5" spans="1:10" ht="9.9499999999999993" customHeight="1" x14ac:dyDescent="0.2">
      <c r="A5" s="13" t="s">
        <v>7</v>
      </c>
      <c r="B5" s="14">
        <v>8</v>
      </c>
      <c r="C5" s="14">
        <v>4</v>
      </c>
      <c r="D5" s="14">
        <v>2</v>
      </c>
      <c r="E5" s="14">
        <v>90</v>
      </c>
      <c r="F5" s="14">
        <v>78</v>
      </c>
      <c r="G5" s="14">
        <f>SUM(B5*4+D5*2)</f>
        <v>36</v>
      </c>
      <c r="H5" s="15">
        <f>E5/(E5+F5)</f>
        <v>0.5357142857142857</v>
      </c>
      <c r="J5" s="12"/>
    </row>
    <row r="6" spans="1:10" ht="9.9499999999999993" customHeight="1" x14ac:dyDescent="0.2">
      <c r="A6" s="17" t="s">
        <v>9</v>
      </c>
      <c r="B6" s="18">
        <v>8</v>
      </c>
      <c r="C6" s="18">
        <v>6</v>
      </c>
      <c r="D6" s="18">
        <v>0</v>
      </c>
      <c r="E6" s="18">
        <v>98</v>
      </c>
      <c r="F6" s="18">
        <v>70</v>
      </c>
      <c r="G6" s="18">
        <f>SUM(B6*4+D6*2)</f>
        <v>32</v>
      </c>
      <c r="H6" s="19">
        <f>E6/(E6+F6)</f>
        <v>0.58333333333333337</v>
      </c>
      <c r="J6" s="12"/>
    </row>
    <row r="7" spans="1:10" ht="9.9499999999999993" customHeight="1" x14ac:dyDescent="0.2">
      <c r="A7" s="17" t="s">
        <v>8</v>
      </c>
      <c r="B7" s="18">
        <v>6</v>
      </c>
      <c r="C7" s="18">
        <v>5</v>
      </c>
      <c r="D7" s="18">
        <v>3</v>
      </c>
      <c r="E7" s="18">
        <v>86</v>
      </c>
      <c r="F7" s="18">
        <v>82</v>
      </c>
      <c r="G7" s="18">
        <f>SUM(B7*4+D7*2)</f>
        <v>30</v>
      </c>
      <c r="H7" s="19">
        <f>E7/(E7+F7)</f>
        <v>0.51190476190476186</v>
      </c>
      <c r="J7" s="12"/>
    </row>
    <row r="8" spans="1:10" ht="9.9499999999999993" customHeight="1" x14ac:dyDescent="0.2">
      <c r="A8" s="3" t="s">
        <v>11</v>
      </c>
      <c r="B8" s="2">
        <v>5</v>
      </c>
      <c r="C8" s="2">
        <v>6</v>
      </c>
      <c r="D8" s="2">
        <v>3</v>
      </c>
      <c r="E8" s="2">
        <v>84</v>
      </c>
      <c r="F8" s="2">
        <v>84</v>
      </c>
      <c r="G8" s="2">
        <f>SUM(B8*4+D8*2)</f>
        <v>26</v>
      </c>
      <c r="H8" s="16">
        <f>E8/(E8+F8)</f>
        <v>0.5</v>
      </c>
      <c r="J8" s="12"/>
    </row>
    <row r="9" spans="1:10" ht="9.9499999999999993" customHeight="1" x14ac:dyDescent="0.2">
      <c r="A9" s="3" t="s">
        <v>10</v>
      </c>
      <c r="B9" s="2">
        <v>4</v>
      </c>
      <c r="C9" s="2">
        <v>8</v>
      </c>
      <c r="D9" s="2">
        <v>2</v>
      </c>
      <c r="E9" s="2">
        <v>79</v>
      </c>
      <c r="F9" s="2">
        <v>89</v>
      </c>
      <c r="G9" s="2">
        <f>SUM(B9*4+D9*2)</f>
        <v>20</v>
      </c>
      <c r="H9" s="16">
        <f>E9/(E9+F9)</f>
        <v>0.47023809523809523</v>
      </c>
      <c r="J9" s="12"/>
    </row>
    <row r="10" spans="1:10" ht="9.9499999999999993" customHeight="1" x14ac:dyDescent="0.2">
      <c r="A10" s="3" t="s">
        <v>12</v>
      </c>
      <c r="B10" s="2">
        <v>4</v>
      </c>
      <c r="C10" s="2">
        <v>8</v>
      </c>
      <c r="D10" s="2">
        <v>2</v>
      </c>
      <c r="E10" s="2">
        <v>71</v>
      </c>
      <c r="F10" s="2">
        <v>97</v>
      </c>
      <c r="G10" s="2">
        <f>SUM(B10*4+D10*2)</f>
        <v>20</v>
      </c>
      <c r="H10" s="16">
        <f>E10/(E10+F10)</f>
        <v>0.42261904761904762</v>
      </c>
      <c r="J10" s="12"/>
    </row>
    <row r="11" spans="1:10" ht="9.9499999999999993" customHeight="1" x14ac:dyDescent="0.2">
      <c r="A11" s="9" t="s">
        <v>13</v>
      </c>
      <c r="B11" s="10">
        <v>3</v>
      </c>
      <c r="C11" s="10">
        <v>8</v>
      </c>
      <c r="D11" s="10">
        <v>3</v>
      </c>
      <c r="E11" s="10">
        <v>68</v>
      </c>
      <c r="F11" s="10">
        <v>100</v>
      </c>
      <c r="G11" s="2">
        <f>SUM(B11*4+D11*2)</f>
        <v>18</v>
      </c>
      <c r="H11" s="16">
        <f>E11/(E11+F11)</f>
        <v>0.40476190476190477</v>
      </c>
      <c r="J11" s="12"/>
    </row>
    <row r="12" spans="1:10" ht="12" customHeight="1" x14ac:dyDescent="0.2">
      <c r="A12" s="4" t="s">
        <v>17</v>
      </c>
      <c r="B12" s="5" t="s">
        <v>18</v>
      </c>
      <c r="E12" s="12"/>
      <c r="F12" s="12"/>
      <c r="J12" s="12"/>
    </row>
    <row r="13" spans="1:10" ht="12" customHeight="1" x14ac:dyDescent="0.2">
      <c r="B13" s="4" t="s">
        <v>19</v>
      </c>
    </row>
    <row r="14" spans="1:10" ht="12" customHeight="1" x14ac:dyDescent="0.2">
      <c r="B14" s="4" t="s">
        <v>20</v>
      </c>
    </row>
    <row r="15" spans="1:10" ht="12" customHeight="1" x14ac:dyDescent="0.2">
      <c r="B15" s="4" t="s">
        <v>21</v>
      </c>
    </row>
    <row r="16" spans="1:10" ht="12" customHeight="1" x14ac:dyDescent="0.2">
      <c r="B16" s="4" t="s">
        <v>22</v>
      </c>
    </row>
    <row r="17" spans="2:2" ht="12" customHeight="1" x14ac:dyDescent="0.2">
      <c r="B17" s="4" t="s">
        <v>23</v>
      </c>
    </row>
    <row r="18" spans="2:2" ht="12" customHeight="1" x14ac:dyDescent="0.2">
      <c r="B18" s="11" t="s">
        <v>24</v>
      </c>
    </row>
    <row r="19" spans="2:2" ht="12" customHeight="1" x14ac:dyDescent="0.2">
      <c r="B19" s="4" t="s">
        <v>25</v>
      </c>
    </row>
    <row r="20" spans="2:2" ht="12" customHeight="1" x14ac:dyDescent="0.2">
      <c r="B20" s="4" t="s">
        <v>26</v>
      </c>
    </row>
    <row r="21" spans="2:2" ht="12" customHeight="1" x14ac:dyDescent="0.2">
      <c r="B21" s="4" t="s">
        <v>27</v>
      </c>
    </row>
    <row r="22" spans="2:2" ht="12" customHeight="1" x14ac:dyDescent="0.2">
      <c r="B22" s="4" t="s">
        <v>28</v>
      </c>
    </row>
    <row r="23" spans="2:2" ht="12" customHeight="1" x14ac:dyDescent="0.2">
      <c r="B23" s="4" t="s">
        <v>29</v>
      </c>
    </row>
    <row r="24" spans="2:2" ht="12" customHeight="1" x14ac:dyDescent="0.2">
      <c r="B24" s="11" t="s">
        <v>30</v>
      </c>
    </row>
    <row r="25" spans="2:2" ht="12" customHeight="1" x14ac:dyDescent="0.2">
      <c r="B25" s="4" t="s">
        <v>31</v>
      </c>
    </row>
    <row r="26" spans="2:2" ht="12" customHeight="1" x14ac:dyDescent="0.2">
      <c r="B26" s="4" t="s">
        <v>32</v>
      </c>
    </row>
    <row r="27" spans="2:2" ht="12" customHeight="1" x14ac:dyDescent="0.2">
      <c r="B27" s="4" t="s">
        <v>33</v>
      </c>
    </row>
    <row r="28" spans="2:2" ht="12" customHeight="1" x14ac:dyDescent="0.2">
      <c r="B28" s="4" t="s">
        <v>34</v>
      </c>
    </row>
    <row r="29" spans="2:2" ht="12" customHeight="1" x14ac:dyDescent="0.2">
      <c r="B29" s="4" t="s">
        <v>35</v>
      </c>
    </row>
    <row r="30" spans="2:2" ht="12" customHeight="1" x14ac:dyDescent="0.2">
      <c r="B30" s="11" t="s">
        <v>36</v>
      </c>
    </row>
    <row r="31" spans="2:2" ht="12" customHeight="1" x14ac:dyDescent="0.2">
      <c r="B31" s="4" t="s">
        <v>37</v>
      </c>
    </row>
    <row r="32" spans="2:2" ht="12" customHeight="1" x14ac:dyDescent="0.2">
      <c r="B32" s="4" t="s">
        <v>38</v>
      </c>
    </row>
    <row r="33" spans="2:2" ht="12" customHeight="1" x14ac:dyDescent="0.2">
      <c r="B33" s="4" t="s">
        <v>39</v>
      </c>
    </row>
    <row r="34" spans="2:2" ht="12" customHeight="1" x14ac:dyDescent="0.2">
      <c r="B34" s="4" t="s">
        <v>40</v>
      </c>
    </row>
    <row r="35" spans="2:2" ht="12" customHeight="1" x14ac:dyDescent="0.2">
      <c r="B35" s="4" t="s">
        <v>41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Spalding</dc:creator>
  <cp:lastModifiedBy>Andrew</cp:lastModifiedBy>
  <cp:lastPrinted>2018-05-04T07:44:54Z</cp:lastPrinted>
  <dcterms:created xsi:type="dcterms:W3CDTF">2018-03-28T07:46:12Z</dcterms:created>
  <dcterms:modified xsi:type="dcterms:W3CDTF">2018-05-18T05:54:48Z</dcterms:modified>
</cp:coreProperties>
</file>