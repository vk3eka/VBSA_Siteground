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/>
  <mc:AlternateContent xmlns:mc="http://schemas.openxmlformats.org/markup-compatibility/2006">
    <mc:Choice Requires="x15">
      <x15ac:absPath xmlns:x15ac="http://schemas.microsoft.com/office/spreadsheetml/2010/11/ac" url="C:\Users\Andrew\Desktop\"/>
    </mc:Choice>
  </mc:AlternateContent>
  <bookViews>
    <workbookView xWindow="0" yWindow="0" windowWidth="28800" windowHeight="12330"/>
  </bookViews>
  <sheets>
    <sheet name="StatsR4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2" l="1"/>
  <c r="D20" i="2"/>
  <c r="D21" i="2"/>
  <c r="D22" i="2"/>
  <c r="D23" i="2"/>
  <c r="D26" i="2" l="1"/>
  <c r="D27" i="2"/>
  <c r="D28" i="2"/>
  <c r="D29" i="2"/>
  <c r="D30" i="2"/>
  <c r="X48" i="2" l="1"/>
  <c r="X51" i="2"/>
  <c r="X52" i="2"/>
  <c r="D48" i="2"/>
  <c r="D51" i="2"/>
  <c r="D52" i="2"/>
  <c r="B44" i="2"/>
  <c r="B12" i="2" l="1"/>
  <c r="C12" i="2"/>
  <c r="B17" i="2"/>
  <c r="C17" i="2"/>
  <c r="X19" i="2" l="1"/>
  <c r="X26" i="2"/>
  <c r="X28" i="2"/>
  <c r="X29" i="2"/>
  <c r="X30" i="2"/>
  <c r="X31" i="2"/>
  <c r="B32" i="2"/>
  <c r="X32" i="2" s="1"/>
  <c r="B27" i="2"/>
  <c r="X27" i="2" s="1"/>
  <c r="B26" i="2"/>
  <c r="B53" i="2" l="1"/>
  <c r="B58" i="2"/>
  <c r="B55" i="2"/>
  <c r="B45" i="2"/>
  <c r="B43" i="2"/>
  <c r="B42" i="2"/>
  <c r="B39" i="2" l="1"/>
  <c r="B35" i="2"/>
  <c r="X35" i="2" s="1"/>
  <c r="B24" i="2"/>
  <c r="B52" i="2"/>
  <c r="B47" i="2"/>
  <c r="D44" i="2"/>
  <c r="X44" i="2"/>
  <c r="B14" i="2"/>
  <c r="C4" i="2"/>
  <c r="B4" i="2"/>
  <c r="D35" i="2" l="1"/>
  <c r="C53" i="2"/>
  <c r="X6" i="2" l="1"/>
  <c r="X25" i="2"/>
  <c r="X39" i="2"/>
  <c r="X41" i="2"/>
  <c r="X42" i="2"/>
  <c r="X43" i="2"/>
  <c r="X45" i="2"/>
  <c r="X55" i="2"/>
  <c r="X58" i="2"/>
  <c r="C24" i="2"/>
  <c r="D24" i="2" s="1"/>
  <c r="D6" i="2"/>
  <c r="D11" i="2"/>
  <c r="D25" i="2"/>
  <c r="D31" i="2"/>
  <c r="D32" i="2"/>
  <c r="D39" i="2"/>
  <c r="D41" i="2"/>
  <c r="D42" i="2"/>
  <c r="D43" i="2"/>
  <c r="D45" i="2"/>
  <c r="D55" i="2"/>
  <c r="D58" i="2"/>
  <c r="C33" i="2"/>
  <c r="C40" i="2"/>
  <c r="B40" i="2"/>
  <c r="B54" i="2"/>
  <c r="X54" i="2" s="1"/>
  <c r="D40" i="2" l="1"/>
  <c r="D54" i="2"/>
  <c r="C46" i="2"/>
  <c r="B5" i="2" l="1"/>
  <c r="D5" i="2" s="1"/>
  <c r="B7" i="2"/>
  <c r="B8" i="2"/>
  <c r="B9" i="2"/>
  <c r="B10" i="2"/>
  <c r="D12" i="2"/>
  <c r="B13" i="2"/>
  <c r="B15" i="2"/>
  <c r="B16" i="2"/>
  <c r="D17" i="2"/>
  <c r="B18" i="2"/>
  <c r="B20" i="2"/>
  <c r="X20" i="2" s="1"/>
  <c r="B21" i="2"/>
  <c r="X21" i="2" s="1"/>
  <c r="B22" i="2"/>
  <c r="X22" i="2" s="1"/>
  <c r="B23" i="2"/>
  <c r="X23" i="2" s="1"/>
  <c r="B33" i="2"/>
  <c r="D33" i="2" s="1"/>
  <c r="B34" i="2"/>
  <c r="B36" i="2"/>
  <c r="B37" i="2"/>
  <c r="B38" i="2"/>
  <c r="B46" i="2"/>
  <c r="D46" i="2" s="1"/>
  <c r="B49" i="2"/>
  <c r="B50" i="2"/>
  <c r="B51" i="2"/>
  <c r="D53" i="2"/>
  <c r="B56" i="2"/>
  <c r="B57" i="2"/>
  <c r="D4" i="2"/>
  <c r="X50" i="2" l="1"/>
  <c r="D50" i="2"/>
  <c r="D49" i="2"/>
  <c r="X49" i="2"/>
  <c r="X14" i="2"/>
  <c r="D14" i="2"/>
  <c r="D9" i="2"/>
  <c r="X9" i="2"/>
  <c r="D47" i="2"/>
  <c r="X47" i="2"/>
  <c r="D13" i="2"/>
  <c r="X13" i="2"/>
  <c r="X57" i="2"/>
  <c r="D57" i="2"/>
  <c r="X34" i="2"/>
  <c r="D34" i="2"/>
  <c r="X16" i="2"/>
  <c r="D16" i="2"/>
  <c r="X7" i="2"/>
  <c r="D7" i="2"/>
  <c r="D37" i="2"/>
  <c r="X37" i="2"/>
  <c r="X18" i="2"/>
  <c r="D18" i="2"/>
  <c r="D36" i="2"/>
  <c r="X36" i="2"/>
  <c r="X8" i="2"/>
  <c r="D8" i="2"/>
  <c r="X56" i="2"/>
  <c r="D56" i="2"/>
  <c r="X38" i="2"/>
  <c r="D38" i="2"/>
  <c r="X15" i="2"/>
  <c r="D15" i="2"/>
  <c r="X10" i="2"/>
  <c r="D10" i="2"/>
  <c r="X5" i="2"/>
</calcChain>
</file>

<file path=xl/sharedStrings.xml><?xml version="1.0" encoding="utf-8"?>
<sst xmlns="http://schemas.openxmlformats.org/spreadsheetml/2006/main" count="111" uniqueCount="68">
  <si>
    <t>Player</t>
  </si>
  <si>
    <t>Won</t>
  </si>
  <si>
    <t>Lost</t>
  </si>
  <si>
    <t>%</t>
  </si>
  <si>
    <t>Rank</t>
  </si>
  <si>
    <t>HB</t>
  </si>
  <si>
    <t>A.Taylor</t>
  </si>
  <si>
    <t>Matt Curwood</t>
  </si>
  <si>
    <t>Luke Taylor</t>
  </si>
  <si>
    <t>A</t>
  </si>
  <si>
    <t>Andrew Spalding</t>
  </si>
  <si>
    <t>B</t>
  </si>
  <si>
    <t>Jays Mclean</t>
  </si>
  <si>
    <t>Rhys Godden</t>
  </si>
  <si>
    <t>Jay Godden</t>
  </si>
  <si>
    <t>A.Williams</t>
  </si>
  <si>
    <t>David Palmer</t>
  </si>
  <si>
    <t>Greg Alison</t>
  </si>
  <si>
    <t>Alan Nash</t>
  </si>
  <si>
    <t>Mick Williams</t>
  </si>
  <si>
    <t>OCC-1</t>
  </si>
  <si>
    <t>Jason Crocker</t>
  </si>
  <si>
    <t>Wayne Clack</t>
  </si>
  <si>
    <t>John Lewis</t>
  </si>
  <si>
    <t>John Grubb</t>
  </si>
  <si>
    <t>C</t>
  </si>
  <si>
    <t>A.Callender</t>
  </si>
  <si>
    <t>VRI-Boyle</t>
  </si>
  <si>
    <t>Ian Boyle</t>
  </si>
  <si>
    <t>Darrien McNeice</t>
  </si>
  <si>
    <t>Darren Levett</t>
  </si>
  <si>
    <t>Ray Wilson</t>
  </si>
  <si>
    <t>Trevor Moore</t>
  </si>
  <si>
    <t>D</t>
  </si>
  <si>
    <t>BBSA Inc. 2018 Snooker Season</t>
  </si>
  <si>
    <t>Jamie Stevens</t>
  </si>
  <si>
    <t>Ron Callender</t>
  </si>
  <si>
    <t>Jason Smiley</t>
  </si>
  <si>
    <t>Daniel Jenkins</t>
  </si>
  <si>
    <t>VRI-Angwin</t>
  </si>
  <si>
    <t>Dale Bridges</t>
  </si>
  <si>
    <t>Corey Lee</t>
  </si>
  <si>
    <t>Shaune Hardy</t>
  </si>
  <si>
    <t>Graeme Musgrove</t>
  </si>
  <si>
    <t>Steve Law</t>
  </si>
  <si>
    <t>Daryl Ferguson</t>
  </si>
  <si>
    <t>Dif.</t>
  </si>
  <si>
    <t xml:space="preserve"> =&gt; 20</t>
  </si>
  <si>
    <t>OCC-2</t>
  </si>
  <si>
    <t>John Eltringham</t>
  </si>
  <si>
    <t>Geoff Challis</t>
  </si>
  <si>
    <t>Peter Oates</t>
  </si>
  <si>
    <t>Gordon Males</t>
  </si>
  <si>
    <t>MHS</t>
  </si>
  <si>
    <t>Steve Landsborough</t>
  </si>
  <si>
    <t>Shane Courtney</t>
  </si>
  <si>
    <t>Rod Mclean</t>
  </si>
  <si>
    <t>Jim Punch</t>
  </si>
  <si>
    <t>Selwyn Lahey</t>
  </si>
  <si>
    <t>Dennis Nikoltsis</t>
  </si>
  <si>
    <t>AJ Machingo</t>
  </si>
  <si>
    <t>Tim Broad</t>
  </si>
  <si>
    <t>Mark Beer</t>
  </si>
  <si>
    <t>Jake McCartney</t>
  </si>
  <si>
    <t>Ivan Crowley</t>
  </si>
  <si>
    <t>Bruce Shaw</t>
  </si>
  <si>
    <t>Nadir Khan</t>
  </si>
  <si>
    <t>Mark Curwood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</si>
</sst>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 indent="2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0" fillId="0" borderId="0" xfId="0" applyFill="1"/>
  </cellXfs>
  <cellStyles count="1">
    <cellStyle name="Normal" xfId="0" builtinId="0"/>
  </cellStyles>
  <dxfs count="2">
    <dxf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topLeftCell="A31" zoomScale="115" zoomScaleNormal="115" workbookViewId="0">
      <selection activeCell="F59" sqref="F59"/>
    </sheetView>
  </sheetViews>
  <sheetFormatPr defaultRowHeight="15" x14ac:dyDescent="0.25"/>
  <cols>
    <col min="1" max="1" width="21.28515625" customWidth="1"/>
    <col min="2" max="2" width="4.7109375" customWidth="1"/>
    <col min="3" max="3" width="4.5703125" customWidth="1"/>
    <col min="4" max="5" width="4.28515625" customWidth="1"/>
    <col min="6" max="23" width="3.7109375" customWidth="1"/>
    <col min="24" max="25" width="4.5703125" customWidth="1"/>
    <col min="26" max="26" width="6.140625" customWidth="1"/>
    <col min="27" max="27" width="3.7109375" customWidth="1"/>
  </cols>
  <sheetData>
    <row r="1" spans="1:27" x14ac:dyDescent="0.25">
      <c r="K1" t="s">
        <v>34</v>
      </c>
    </row>
    <row r="3" spans="1:27" x14ac:dyDescent="0.25">
      <c r="A3" t="s">
        <v>0</v>
      </c>
      <c r="B3" t="s">
        <v>1</v>
      </c>
      <c r="C3" t="s">
        <v>2</v>
      </c>
      <c r="D3" t="s">
        <v>46</v>
      </c>
      <c r="F3">
        <v>1</v>
      </c>
      <c r="G3">
        <v>2</v>
      </c>
      <c r="H3">
        <v>3</v>
      </c>
      <c r="I3">
        <v>4</v>
      </c>
      <c r="J3">
        <v>5</v>
      </c>
      <c r="K3">
        <v>6</v>
      </c>
      <c r="L3">
        <v>7</v>
      </c>
      <c r="M3">
        <v>8</v>
      </c>
      <c r="N3">
        <v>9</v>
      </c>
      <c r="O3">
        <v>10</v>
      </c>
      <c r="P3">
        <v>11</v>
      </c>
      <c r="Q3">
        <v>12</v>
      </c>
      <c r="R3">
        <v>13</v>
      </c>
      <c r="S3">
        <v>14</v>
      </c>
      <c r="T3">
        <v>15</v>
      </c>
      <c r="U3">
        <v>16</v>
      </c>
      <c r="V3">
        <v>17</v>
      </c>
      <c r="W3">
        <v>18</v>
      </c>
      <c r="X3" s="1" t="s">
        <v>3</v>
      </c>
      <c r="Y3" t="s">
        <v>4</v>
      </c>
      <c r="Z3" s="2" t="s">
        <v>47</v>
      </c>
      <c r="AA3" s="2" t="s">
        <v>5</v>
      </c>
    </row>
    <row r="4" spans="1:27" x14ac:dyDescent="0.25">
      <c r="A4" s="4" t="s">
        <v>6</v>
      </c>
      <c r="B4" s="4">
        <f>SUM(F4:W4)</f>
        <v>21</v>
      </c>
      <c r="C4" s="4">
        <f>SUM(C5:C11)</f>
        <v>27</v>
      </c>
      <c r="D4" s="4">
        <f>B4-C4</f>
        <v>-6</v>
      </c>
      <c r="E4" s="4"/>
      <c r="F4" s="4">
        <v>3</v>
      </c>
      <c r="G4" s="4">
        <v>7</v>
      </c>
      <c r="H4" s="4">
        <v>5</v>
      </c>
      <c r="I4" s="4">
        <v>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6"/>
      <c r="Z4" s="4"/>
      <c r="AA4" s="4"/>
    </row>
    <row r="5" spans="1:27" x14ac:dyDescent="0.25">
      <c r="A5" s="3" t="s">
        <v>7</v>
      </c>
      <c r="B5">
        <f t="shared" ref="B5:B23" si="0">SUM(F5:W5)</f>
        <v>7</v>
      </c>
      <c r="C5">
        <v>5</v>
      </c>
      <c r="D5">
        <f t="shared" ref="D5:D58" si="1">B5-C5</f>
        <v>2</v>
      </c>
      <c r="F5">
        <v>2</v>
      </c>
      <c r="G5">
        <v>2</v>
      </c>
      <c r="H5">
        <v>2</v>
      </c>
      <c r="I5">
        <v>1</v>
      </c>
      <c r="W5" s="1"/>
      <c r="X5">
        <f t="shared" ref="X5:X58" si="2">B5/(B5+C5)*100</f>
        <v>58.333333333333336</v>
      </c>
      <c r="Y5" s="2" t="s">
        <v>9</v>
      </c>
      <c r="Z5">
        <v>6</v>
      </c>
      <c r="AA5">
        <v>46</v>
      </c>
    </row>
    <row r="6" spans="1:27" x14ac:dyDescent="0.25">
      <c r="A6" s="3" t="s">
        <v>8</v>
      </c>
      <c r="B6">
        <v>1</v>
      </c>
      <c r="C6">
        <v>2</v>
      </c>
      <c r="D6">
        <f t="shared" si="1"/>
        <v>-1</v>
      </c>
      <c r="F6">
        <v>1</v>
      </c>
      <c r="X6">
        <f t="shared" si="2"/>
        <v>33.333333333333329</v>
      </c>
      <c r="Y6" s="2" t="s">
        <v>9</v>
      </c>
    </row>
    <row r="7" spans="1:27" x14ac:dyDescent="0.25">
      <c r="A7" s="3" t="s">
        <v>10</v>
      </c>
      <c r="B7">
        <f t="shared" si="0"/>
        <v>3</v>
      </c>
      <c r="C7">
        <v>9</v>
      </c>
      <c r="D7">
        <f t="shared" si="1"/>
        <v>-6</v>
      </c>
      <c r="F7">
        <v>0</v>
      </c>
      <c r="G7">
        <v>2</v>
      </c>
      <c r="H7">
        <v>0</v>
      </c>
      <c r="I7">
        <v>1</v>
      </c>
      <c r="X7">
        <f t="shared" si="2"/>
        <v>25</v>
      </c>
      <c r="Y7" s="2" t="s">
        <v>11</v>
      </c>
      <c r="Z7">
        <v>1</v>
      </c>
      <c r="AA7">
        <v>37</v>
      </c>
    </row>
    <row r="8" spans="1:27" x14ac:dyDescent="0.25">
      <c r="A8" s="3" t="s">
        <v>12</v>
      </c>
      <c r="B8">
        <f t="shared" si="0"/>
        <v>3</v>
      </c>
      <c r="C8">
        <v>3</v>
      </c>
      <c r="D8">
        <f t="shared" si="1"/>
        <v>0</v>
      </c>
      <c r="G8">
        <v>2</v>
      </c>
      <c r="I8">
        <v>1</v>
      </c>
      <c r="X8">
        <f t="shared" si="2"/>
        <v>50</v>
      </c>
      <c r="Y8" s="2" t="s">
        <v>9</v>
      </c>
      <c r="Z8">
        <v>3</v>
      </c>
      <c r="AA8">
        <v>31</v>
      </c>
    </row>
    <row r="9" spans="1:27" x14ac:dyDescent="0.25">
      <c r="A9" s="3" t="s">
        <v>13</v>
      </c>
      <c r="B9">
        <f t="shared" si="0"/>
        <v>6</v>
      </c>
      <c r="C9">
        <v>3</v>
      </c>
      <c r="D9">
        <f t="shared" si="1"/>
        <v>3</v>
      </c>
      <c r="G9">
        <v>1</v>
      </c>
      <c r="H9">
        <v>2</v>
      </c>
      <c r="I9">
        <v>3</v>
      </c>
      <c r="X9">
        <f t="shared" si="2"/>
        <v>66.666666666666657</v>
      </c>
      <c r="Y9" s="2" t="s">
        <v>11</v>
      </c>
      <c r="Z9">
        <v>1</v>
      </c>
      <c r="AA9">
        <v>24</v>
      </c>
    </row>
    <row r="10" spans="1:27" x14ac:dyDescent="0.25">
      <c r="A10" s="3" t="s">
        <v>14</v>
      </c>
      <c r="B10">
        <f t="shared" si="0"/>
        <v>0</v>
      </c>
      <c r="C10">
        <v>3</v>
      </c>
      <c r="D10">
        <f t="shared" si="1"/>
        <v>-3</v>
      </c>
      <c r="F10">
        <v>0</v>
      </c>
      <c r="X10">
        <f t="shared" si="2"/>
        <v>0</v>
      </c>
      <c r="Y10" s="2" t="s">
        <v>33</v>
      </c>
    </row>
    <row r="11" spans="1:27" x14ac:dyDescent="0.25">
      <c r="A11" s="3" t="s">
        <v>45</v>
      </c>
      <c r="B11">
        <v>1</v>
      </c>
      <c r="C11">
        <v>2</v>
      </c>
      <c r="D11">
        <f t="shared" si="1"/>
        <v>-1</v>
      </c>
      <c r="H11">
        <v>1</v>
      </c>
      <c r="Y11" s="2" t="s">
        <v>33</v>
      </c>
    </row>
    <row r="12" spans="1:27" x14ac:dyDescent="0.25">
      <c r="A12" s="4" t="s">
        <v>15</v>
      </c>
      <c r="B12" s="4">
        <f>SUM(F12:W12)</f>
        <v>20</v>
      </c>
      <c r="C12" s="4">
        <f>SUM(C13:C16)</f>
        <v>28</v>
      </c>
      <c r="D12" s="4">
        <f t="shared" si="1"/>
        <v>-8</v>
      </c>
      <c r="E12" s="4"/>
      <c r="F12" s="4">
        <v>8</v>
      </c>
      <c r="G12" s="4">
        <v>5</v>
      </c>
      <c r="H12" s="4">
        <v>4</v>
      </c>
      <c r="I12" s="4">
        <v>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6"/>
      <c r="Z12" s="4"/>
      <c r="AA12" s="4"/>
    </row>
    <row r="13" spans="1:27" x14ac:dyDescent="0.25">
      <c r="A13" s="3" t="s">
        <v>16</v>
      </c>
      <c r="B13">
        <f t="shared" si="0"/>
        <v>4</v>
      </c>
      <c r="C13">
        <v>8</v>
      </c>
      <c r="D13">
        <f t="shared" si="1"/>
        <v>-4</v>
      </c>
      <c r="F13">
        <v>2</v>
      </c>
      <c r="G13">
        <v>1</v>
      </c>
      <c r="H13">
        <v>0</v>
      </c>
      <c r="I13">
        <v>1</v>
      </c>
      <c r="X13">
        <f t="shared" si="2"/>
        <v>33.333333333333329</v>
      </c>
      <c r="Y13" s="2" t="s">
        <v>9</v>
      </c>
      <c r="Z13">
        <v>2</v>
      </c>
      <c r="AA13">
        <v>22</v>
      </c>
    </row>
    <row r="14" spans="1:27" x14ac:dyDescent="0.25">
      <c r="A14" s="3" t="s">
        <v>17</v>
      </c>
      <c r="B14">
        <f t="shared" si="0"/>
        <v>8</v>
      </c>
      <c r="C14">
        <v>4</v>
      </c>
      <c r="D14">
        <f t="shared" si="1"/>
        <v>4</v>
      </c>
      <c r="F14">
        <v>2</v>
      </c>
      <c r="G14">
        <v>1</v>
      </c>
      <c r="H14">
        <v>3</v>
      </c>
      <c r="I14">
        <v>2</v>
      </c>
      <c r="X14">
        <f t="shared" si="2"/>
        <v>66.666666666666657</v>
      </c>
      <c r="Y14" s="2" t="s">
        <v>11</v>
      </c>
      <c r="Z14">
        <v>7</v>
      </c>
      <c r="AA14">
        <v>37</v>
      </c>
    </row>
    <row r="15" spans="1:27" x14ac:dyDescent="0.25">
      <c r="A15" s="3" t="s">
        <v>18</v>
      </c>
      <c r="B15">
        <f t="shared" si="0"/>
        <v>2</v>
      </c>
      <c r="C15">
        <v>10</v>
      </c>
      <c r="D15">
        <f t="shared" si="1"/>
        <v>-8</v>
      </c>
      <c r="F15">
        <v>1</v>
      </c>
      <c r="G15">
        <v>1</v>
      </c>
      <c r="H15">
        <v>0</v>
      </c>
      <c r="I15">
        <v>0</v>
      </c>
      <c r="X15">
        <f t="shared" si="2"/>
        <v>16.666666666666664</v>
      </c>
      <c r="Y15" s="2" t="s">
        <v>11</v>
      </c>
      <c r="Z15">
        <v>1</v>
      </c>
      <c r="AA15">
        <v>23</v>
      </c>
    </row>
    <row r="16" spans="1:27" x14ac:dyDescent="0.25">
      <c r="A16" s="3" t="s">
        <v>19</v>
      </c>
      <c r="B16">
        <f t="shared" si="0"/>
        <v>6</v>
      </c>
      <c r="C16">
        <v>6</v>
      </c>
      <c r="D16">
        <f t="shared" si="1"/>
        <v>0</v>
      </c>
      <c r="F16">
        <v>3</v>
      </c>
      <c r="G16">
        <v>2</v>
      </c>
      <c r="H16">
        <v>1</v>
      </c>
      <c r="I16">
        <v>0</v>
      </c>
      <c r="X16">
        <f t="shared" si="2"/>
        <v>50</v>
      </c>
      <c r="Y16" s="2" t="s">
        <v>11</v>
      </c>
      <c r="Z16">
        <v>1</v>
      </c>
      <c r="AA16">
        <v>23</v>
      </c>
    </row>
    <row r="17" spans="1:27" x14ac:dyDescent="0.25">
      <c r="A17" s="4" t="s">
        <v>26</v>
      </c>
      <c r="B17" s="4">
        <f>SUM(F17:W17)</f>
        <v>29</v>
      </c>
      <c r="C17" s="4">
        <f>SUM(C18:C23)</f>
        <v>19</v>
      </c>
      <c r="D17" s="4">
        <f t="shared" si="1"/>
        <v>10</v>
      </c>
      <c r="E17" s="4"/>
      <c r="F17" s="4">
        <v>7</v>
      </c>
      <c r="G17" s="4">
        <v>6</v>
      </c>
      <c r="H17" s="4">
        <v>10</v>
      </c>
      <c r="I17" s="4">
        <v>6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6"/>
      <c r="Z17" s="4"/>
      <c r="AA17" s="4"/>
    </row>
    <row r="18" spans="1:27" x14ac:dyDescent="0.25">
      <c r="A18" s="3" t="s">
        <v>35</v>
      </c>
      <c r="B18">
        <f t="shared" si="0"/>
        <v>7</v>
      </c>
      <c r="C18">
        <v>5</v>
      </c>
      <c r="D18">
        <f t="shared" si="1"/>
        <v>2</v>
      </c>
      <c r="F18">
        <v>2</v>
      </c>
      <c r="G18">
        <v>1</v>
      </c>
      <c r="H18">
        <v>2</v>
      </c>
      <c r="I18">
        <v>2</v>
      </c>
      <c r="X18">
        <f t="shared" si="2"/>
        <v>58.333333333333336</v>
      </c>
      <c r="Y18" s="2" t="s">
        <v>9</v>
      </c>
      <c r="Z18">
        <v>6</v>
      </c>
      <c r="AA18">
        <v>53</v>
      </c>
    </row>
    <row r="19" spans="1:27" x14ac:dyDescent="0.25">
      <c r="A19" s="3" t="s">
        <v>63</v>
      </c>
      <c r="B19">
        <v>3</v>
      </c>
      <c r="C19">
        <v>0</v>
      </c>
      <c r="D19">
        <f t="shared" si="1"/>
        <v>3</v>
      </c>
      <c r="H19">
        <v>3</v>
      </c>
      <c r="X19">
        <f t="shared" si="2"/>
        <v>100</v>
      </c>
      <c r="Y19" s="2" t="s">
        <v>9</v>
      </c>
      <c r="Z19">
        <v>2</v>
      </c>
      <c r="AA19">
        <v>49</v>
      </c>
    </row>
    <row r="20" spans="1:27" x14ac:dyDescent="0.25">
      <c r="A20" s="3" t="s">
        <v>36</v>
      </c>
      <c r="B20">
        <f t="shared" si="0"/>
        <v>8</v>
      </c>
      <c r="C20">
        <v>4</v>
      </c>
      <c r="D20">
        <f t="shared" si="1"/>
        <v>4</v>
      </c>
      <c r="F20">
        <v>1</v>
      </c>
      <c r="G20">
        <v>2</v>
      </c>
      <c r="H20">
        <v>3</v>
      </c>
      <c r="I20">
        <v>2</v>
      </c>
      <c r="X20">
        <f t="shared" si="2"/>
        <v>66.666666666666657</v>
      </c>
      <c r="Y20" s="2" t="s">
        <v>9</v>
      </c>
      <c r="Z20">
        <v>1</v>
      </c>
      <c r="AA20">
        <v>39</v>
      </c>
    </row>
    <row r="21" spans="1:27" x14ac:dyDescent="0.25">
      <c r="A21" s="3" t="s">
        <v>37</v>
      </c>
      <c r="B21">
        <f t="shared" si="0"/>
        <v>3</v>
      </c>
      <c r="C21">
        <v>3</v>
      </c>
      <c r="D21">
        <f t="shared" si="1"/>
        <v>0</v>
      </c>
      <c r="F21">
        <v>1</v>
      </c>
      <c r="G21">
        <v>2</v>
      </c>
      <c r="X21">
        <f t="shared" si="2"/>
        <v>50</v>
      </c>
      <c r="Y21" s="2" t="s">
        <v>9</v>
      </c>
      <c r="Z21">
        <v>1</v>
      </c>
      <c r="AA21">
        <v>22</v>
      </c>
    </row>
    <row r="22" spans="1:27" x14ac:dyDescent="0.25">
      <c r="A22" s="3" t="s">
        <v>38</v>
      </c>
      <c r="B22">
        <f t="shared" si="0"/>
        <v>5</v>
      </c>
      <c r="C22">
        <v>4</v>
      </c>
      <c r="D22">
        <f t="shared" si="1"/>
        <v>1</v>
      </c>
      <c r="G22">
        <v>1</v>
      </c>
      <c r="H22">
        <v>2</v>
      </c>
      <c r="I22">
        <v>2</v>
      </c>
      <c r="X22">
        <f t="shared" si="2"/>
        <v>55.555555555555557</v>
      </c>
      <c r="Y22" s="2" t="s">
        <v>9</v>
      </c>
      <c r="Z22">
        <v>2</v>
      </c>
      <c r="AA22">
        <v>25</v>
      </c>
    </row>
    <row r="23" spans="1:27" x14ac:dyDescent="0.25">
      <c r="A23" s="3" t="s">
        <v>44</v>
      </c>
      <c r="B23">
        <f t="shared" si="0"/>
        <v>3</v>
      </c>
      <c r="C23">
        <v>3</v>
      </c>
      <c r="D23">
        <f t="shared" si="1"/>
        <v>0</v>
      </c>
      <c r="F23">
        <v>3</v>
      </c>
      <c r="I23">
        <v>0</v>
      </c>
      <c r="X23">
        <f t="shared" si="2"/>
        <v>50</v>
      </c>
      <c r="Y23" s="2" t="s">
        <v>33</v>
      </c>
    </row>
    <row r="24" spans="1:27" s="7" customFormat="1" x14ac:dyDescent="0.25">
      <c r="A24" s="5" t="s">
        <v>53</v>
      </c>
      <c r="B24" s="4">
        <f>SUM(B25:B32)</f>
        <v>18</v>
      </c>
      <c r="C24" s="4">
        <f>SUM(C25:C32)</f>
        <v>30</v>
      </c>
      <c r="D24" s="4">
        <f t="shared" si="1"/>
        <v>-12</v>
      </c>
      <c r="E24" s="4"/>
      <c r="F24" s="4">
        <v>3</v>
      </c>
      <c r="G24" s="4">
        <v>7</v>
      </c>
      <c r="H24" s="4">
        <v>2</v>
      </c>
      <c r="I24" s="4">
        <v>6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25">
      <c r="A25" s="3" t="s">
        <v>60</v>
      </c>
      <c r="B25">
        <v>1</v>
      </c>
      <c r="C25">
        <v>2</v>
      </c>
      <c r="D25">
        <f t="shared" si="1"/>
        <v>-1</v>
      </c>
      <c r="G25">
        <v>1</v>
      </c>
      <c r="X25">
        <f t="shared" si="2"/>
        <v>33.333333333333329</v>
      </c>
      <c r="Y25" s="2" t="s">
        <v>11</v>
      </c>
    </row>
    <row r="26" spans="1:27" x14ac:dyDescent="0.25">
      <c r="A26" s="3" t="s">
        <v>65</v>
      </c>
      <c r="B26">
        <f>SUM(F26:W26)</f>
        <v>0</v>
      </c>
      <c r="C26">
        <v>3</v>
      </c>
      <c r="D26">
        <f t="shared" si="1"/>
        <v>-3</v>
      </c>
      <c r="I26">
        <v>0</v>
      </c>
      <c r="X26">
        <f t="shared" si="2"/>
        <v>0</v>
      </c>
      <c r="Y26" s="2" t="s">
        <v>11</v>
      </c>
    </row>
    <row r="27" spans="1:27" x14ac:dyDescent="0.25">
      <c r="A27" s="3" t="s">
        <v>54</v>
      </c>
      <c r="B27">
        <f>SUM(F27:W27)</f>
        <v>4</v>
      </c>
      <c r="C27">
        <v>8</v>
      </c>
      <c r="D27">
        <f t="shared" si="1"/>
        <v>-4</v>
      </c>
      <c r="F27">
        <v>0</v>
      </c>
      <c r="G27">
        <v>3</v>
      </c>
      <c r="H27">
        <v>0</v>
      </c>
      <c r="I27">
        <v>1</v>
      </c>
      <c r="X27">
        <f t="shared" si="2"/>
        <v>33.333333333333329</v>
      </c>
      <c r="Y27" s="2" t="s">
        <v>11</v>
      </c>
    </row>
    <row r="28" spans="1:27" x14ac:dyDescent="0.25">
      <c r="A28" s="3" t="s">
        <v>55</v>
      </c>
      <c r="B28">
        <v>5</v>
      </c>
      <c r="C28">
        <v>4</v>
      </c>
      <c r="D28">
        <f t="shared" si="1"/>
        <v>1</v>
      </c>
      <c r="F28">
        <v>2</v>
      </c>
      <c r="G28">
        <v>2</v>
      </c>
      <c r="H28">
        <v>1</v>
      </c>
      <c r="X28">
        <f t="shared" si="2"/>
        <v>55.555555555555557</v>
      </c>
      <c r="Y28" s="2" t="s">
        <v>25</v>
      </c>
      <c r="Z28">
        <v>2</v>
      </c>
      <c r="AA28">
        <v>22</v>
      </c>
    </row>
    <row r="29" spans="1:27" x14ac:dyDescent="0.25">
      <c r="A29" s="3" t="s">
        <v>56</v>
      </c>
      <c r="B29">
        <v>1</v>
      </c>
      <c r="C29">
        <v>2</v>
      </c>
      <c r="D29">
        <f t="shared" si="1"/>
        <v>-1</v>
      </c>
      <c r="F29">
        <v>1</v>
      </c>
      <c r="X29">
        <f t="shared" si="2"/>
        <v>33.333333333333329</v>
      </c>
      <c r="Y29" s="2" t="s">
        <v>25</v>
      </c>
    </row>
    <row r="30" spans="1:27" x14ac:dyDescent="0.25">
      <c r="A30" s="3" t="s">
        <v>66</v>
      </c>
      <c r="B30">
        <v>2</v>
      </c>
      <c r="C30">
        <v>1</v>
      </c>
      <c r="D30">
        <f t="shared" si="1"/>
        <v>1</v>
      </c>
      <c r="I30">
        <v>2</v>
      </c>
      <c r="X30">
        <f t="shared" si="2"/>
        <v>66.666666666666657</v>
      </c>
      <c r="Y30" s="2" t="s">
        <v>25</v>
      </c>
    </row>
    <row r="31" spans="1:27" x14ac:dyDescent="0.25">
      <c r="A31" s="3" t="s">
        <v>61</v>
      </c>
      <c r="B31">
        <v>2</v>
      </c>
      <c r="C31">
        <v>4</v>
      </c>
      <c r="D31">
        <f t="shared" si="1"/>
        <v>-2</v>
      </c>
      <c r="G31">
        <v>1</v>
      </c>
      <c r="H31">
        <v>1</v>
      </c>
      <c r="X31">
        <f t="shared" si="2"/>
        <v>33.333333333333329</v>
      </c>
      <c r="Y31" s="2" t="s">
        <v>33</v>
      </c>
    </row>
    <row r="32" spans="1:27" x14ac:dyDescent="0.25">
      <c r="A32" s="3" t="s">
        <v>57</v>
      </c>
      <c r="B32">
        <f>SUM(F32:W32)</f>
        <v>3</v>
      </c>
      <c r="C32">
        <v>6</v>
      </c>
      <c r="D32">
        <f t="shared" si="1"/>
        <v>-3</v>
      </c>
      <c r="F32">
        <v>0</v>
      </c>
      <c r="H32">
        <v>0</v>
      </c>
      <c r="I32">
        <v>3</v>
      </c>
      <c r="X32">
        <f t="shared" si="2"/>
        <v>33.333333333333329</v>
      </c>
      <c r="Y32" s="2" t="s">
        <v>25</v>
      </c>
    </row>
    <row r="33" spans="1:27" x14ac:dyDescent="0.25">
      <c r="A33" s="4" t="s">
        <v>20</v>
      </c>
      <c r="B33" s="4">
        <f t="shared" ref="B33:B39" si="3">SUM(F33:W33)</f>
        <v>26</v>
      </c>
      <c r="C33" s="4">
        <f>SUM(C34:C39)</f>
        <v>22</v>
      </c>
      <c r="D33" s="4">
        <f t="shared" si="1"/>
        <v>4</v>
      </c>
      <c r="E33" s="4"/>
      <c r="F33" s="4">
        <v>9</v>
      </c>
      <c r="G33" s="4">
        <v>6</v>
      </c>
      <c r="H33" s="4">
        <v>5</v>
      </c>
      <c r="I33" s="4">
        <v>6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6"/>
      <c r="Z33" s="4"/>
      <c r="AA33" s="4"/>
    </row>
    <row r="34" spans="1:27" x14ac:dyDescent="0.25">
      <c r="A34" s="3" t="s">
        <v>21</v>
      </c>
      <c r="B34">
        <f t="shared" si="3"/>
        <v>5</v>
      </c>
      <c r="C34">
        <v>7</v>
      </c>
      <c r="D34">
        <f t="shared" si="1"/>
        <v>-2</v>
      </c>
      <c r="F34">
        <v>1</v>
      </c>
      <c r="G34">
        <v>1</v>
      </c>
      <c r="H34">
        <v>0</v>
      </c>
      <c r="I34">
        <v>3</v>
      </c>
      <c r="K34" s="4"/>
      <c r="X34">
        <f t="shared" si="2"/>
        <v>41.666666666666671</v>
      </c>
      <c r="Y34" s="2" t="s">
        <v>9</v>
      </c>
      <c r="Z34">
        <v>1</v>
      </c>
      <c r="AA34">
        <v>24</v>
      </c>
    </row>
    <row r="35" spans="1:27" x14ac:dyDescent="0.25">
      <c r="A35" s="3" t="s">
        <v>64</v>
      </c>
      <c r="B35">
        <f t="shared" si="3"/>
        <v>2</v>
      </c>
      <c r="C35">
        <v>1</v>
      </c>
      <c r="D35">
        <f t="shared" si="1"/>
        <v>1</v>
      </c>
      <c r="H35">
        <v>2</v>
      </c>
      <c r="K35" s="4"/>
      <c r="X35">
        <f t="shared" si="2"/>
        <v>66.666666666666657</v>
      </c>
      <c r="Y35" s="2" t="s">
        <v>11</v>
      </c>
    </row>
    <row r="36" spans="1:27" x14ac:dyDescent="0.25">
      <c r="A36" s="3" t="s">
        <v>22</v>
      </c>
      <c r="B36">
        <f t="shared" si="3"/>
        <v>6</v>
      </c>
      <c r="C36">
        <v>3</v>
      </c>
      <c r="D36">
        <f t="shared" si="1"/>
        <v>3</v>
      </c>
      <c r="F36">
        <v>2</v>
      </c>
      <c r="G36">
        <v>2</v>
      </c>
      <c r="I36">
        <v>2</v>
      </c>
      <c r="X36">
        <f t="shared" si="2"/>
        <v>66.666666666666657</v>
      </c>
      <c r="Y36" s="2" t="s">
        <v>9</v>
      </c>
    </row>
    <row r="37" spans="1:27" x14ac:dyDescent="0.25">
      <c r="A37" s="3" t="s">
        <v>23</v>
      </c>
      <c r="B37">
        <f t="shared" si="3"/>
        <v>5</v>
      </c>
      <c r="C37">
        <v>1</v>
      </c>
      <c r="D37">
        <f t="shared" si="1"/>
        <v>4</v>
      </c>
      <c r="F37">
        <v>3</v>
      </c>
      <c r="G37">
        <v>2</v>
      </c>
      <c r="X37">
        <f t="shared" si="2"/>
        <v>83.333333333333343</v>
      </c>
      <c r="Y37" s="2" t="s">
        <v>11</v>
      </c>
      <c r="Z37">
        <v>1</v>
      </c>
      <c r="AA37">
        <v>29</v>
      </c>
    </row>
    <row r="38" spans="1:27" x14ac:dyDescent="0.25">
      <c r="A38" s="3" t="s">
        <v>24</v>
      </c>
      <c r="B38">
        <f t="shared" si="3"/>
        <v>6</v>
      </c>
      <c r="C38">
        <v>3</v>
      </c>
      <c r="D38">
        <f t="shared" si="1"/>
        <v>3</v>
      </c>
      <c r="F38">
        <v>3</v>
      </c>
      <c r="H38">
        <v>2</v>
      </c>
      <c r="I38">
        <v>1</v>
      </c>
      <c r="X38">
        <f t="shared" si="2"/>
        <v>66.666666666666657</v>
      </c>
      <c r="Y38" s="2" t="s">
        <v>25</v>
      </c>
    </row>
    <row r="39" spans="1:27" x14ac:dyDescent="0.25">
      <c r="A39" s="3" t="s">
        <v>58</v>
      </c>
      <c r="B39">
        <f t="shared" si="3"/>
        <v>2</v>
      </c>
      <c r="C39">
        <v>7</v>
      </c>
      <c r="D39">
        <f t="shared" si="1"/>
        <v>-5</v>
      </c>
      <c r="G39">
        <v>1</v>
      </c>
      <c r="H39">
        <v>1</v>
      </c>
      <c r="I39">
        <v>0</v>
      </c>
      <c r="X39">
        <f t="shared" si="2"/>
        <v>22.222222222222221</v>
      </c>
      <c r="Y39" s="2" t="s">
        <v>33</v>
      </c>
    </row>
    <row r="40" spans="1:27" x14ac:dyDescent="0.25">
      <c r="A40" s="5" t="s">
        <v>48</v>
      </c>
      <c r="B40" s="4">
        <f>SUM(B41:B45)</f>
        <v>28</v>
      </c>
      <c r="C40" s="4">
        <f>SUM(C41:C45)</f>
        <v>20</v>
      </c>
      <c r="D40" s="4">
        <f t="shared" si="1"/>
        <v>8</v>
      </c>
      <c r="E40" s="4"/>
      <c r="F40" s="4">
        <v>9</v>
      </c>
      <c r="G40" s="4">
        <v>6</v>
      </c>
      <c r="H40" s="4">
        <v>8</v>
      </c>
      <c r="I40" s="4">
        <v>5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x14ac:dyDescent="0.25">
      <c r="A41" s="3" t="s">
        <v>49</v>
      </c>
      <c r="B41">
        <v>5</v>
      </c>
      <c r="C41">
        <v>4</v>
      </c>
      <c r="D41">
        <f t="shared" si="1"/>
        <v>1</v>
      </c>
      <c r="F41">
        <v>3</v>
      </c>
      <c r="G41">
        <v>2</v>
      </c>
      <c r="I41">
        <v>0</v>
      </c>
      <c r="X41">
        <f t="shared" si="2"/>
        <v>55.555555555555557</v>
      </c>
      <c r="Y41" s="2" t="s">
        <v>9</v>
      </c>
      <c r="Z41">
        <v>2</v>
      </c>
      <c r="AA41">
        <v>52</v>
      </c>
    </row>
    <row r="42" spans="1:27" x14ac:dyDescent="0.25">
      <c r="A42" s="3" t="s">
        <v>50</v>
      </c>
      <c r="B42">
        <f>SUM(F42:W42)</f>
        <v>7</v>
      </c>
      <c r="C42">
        <v>5</v>
      </c>
      <c r="D42">
        <f t="shared" si="1"/>
        <v>2</v>
      </c>
      <c r="F42">
        <v>1</v>
      </c>
      <c r="G42">
        <v>1</v>
      </c>
      <c r="H42">
        <v>3</v>
      </c>
      <c r="I42">
        <v>2</v>
      </c>
      <c r="X42">
        <f t="shared" si="2"/>
        <v>58.333333333333336</v>
      </c>
      <c r="Y42" s="2" t="s">
        <v>25</v>
      </c>
      <c r="Z42">
        <v>1</v>
      </c>
      <c r="AA42">
        <v>20</v>
      </c>
    </row>
    <row r="43" spans="1:27" x14ac:dyDescent="0.25">
      <c r="A43" s="3" t="s">
        <v>51</v>
      </c>
      <c r="B43">
        <f>SUM(F43:W43)</f>
        <v>5</v>
      </c>
      <c r="C43">
        <v>7</v>
      </c>
      <c r="D43">
        <f t="shared" si="1"/>
        <v>-2</v>
      </c>
      <c r="F43">
        <v>2</v>
      </c>
      <c r="G43">
        <v>1</v>
      </c>
      <c r="H43">
        <v>0</v>
      </c>
      <c r="I43">
        <v>2</v>
      </c>
      <c r="X43">
        <f t="shared" si="2"/>
        <v>41.666666666666671</v>
      </c>
      <c r="Y43" s="2" t="s">
        <v>25</v>
      </c>
      <c r="Z43">
        <v>1</v>
      </c>
      <c r="AA43">
        <v>21</v>
      </c>
    </row>
    <row r="44" spans="1:27" x14ac:dyDescent="0.25">
      <c r="A44" s="3" t="s">
        <v>62</v>
      </c>
      <c r="B44">
        <f>SUM(F44:W44)</f>
        <v>4</v>
      </c>
      <c r="C44">
        <v>2</v>
      </c>
      <c r="D44">
        <f t="shared" si="1"/>
        <v>2</v>
      </c>
      <c r="H44">
        <v>3</v>
      </c>
      <c r="I44">
        <v>1</v>
      </c>
      <c r="X44">
        <f t="shared" si="2"/>
        <v>66.666666666666657</v>
      </c>
      <c r="Y44" s="2" t="s">
        <v>33</v>
      </c>
    </row>
    <row r="45" spans="1:27" x14ac:dyDescent="0.25">
      <c r="A45" s="3" t="s">
        <v>52</v>
      </c>
      <c r="B45">
        <f>SUM(F45:W45)</f>
        <v>7</v>
      </c>
      <c r="C45">
        <v>2</v>
      </c>
      <c r="D45">
        <f t="shared" si="1"/>
        <v>5</v>
      </c>
      <c r="F45">
        <v>3</v>
      </c>
      <c r="G45">
        <v>2</v>
      </c>
      <c r="H45">
        <v>2</v>
      </c>
      <c r="X45">
        <f t="shared" si="2"/>
        <v>77.777777777777786</v>
      </c>
      <c r="Y45" s="2" t="s">
        <v>33</v>
      </c>
    </row>
    <row r="46" spans="1:27" x14ac:dyDescent="0.25">
      <c r="A46" s="4" t="s">
        <v>27</v>
      </c>
      <c r="B46" s="4">
        <f t="shared" ref="B46:B57" si="4">SUM(F46:W46)</f>
        <v>24</v>
      </c>
      <c r="C46" s="4">
        <f>SUM(C47:C52)</f>
        <v>24</v>
      </c>
      <c r="D46" s="4">
        <f t="shared" si="1"/>
        <v>0</v>
      </c>
      <c r="E46" s="4"/>
      <c r="F46" s="4">
        <v>4</v>
      </c>
      <c r="G46" s="4">
        <v>6</v>
      </c>
      <c r="H46" s="4">
        <v>7</v>
      </c>
      <c r="I46" s="4">
        <v>7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6"/>
      <c r="Z46" s="4"/>
      <c r="AA46" s="4"/>
    </row>
    <row r="47" spans="1:27" x14ac:dyDescent="0.25">
      <c r="A47" s="3" t="s">
        <v>28</v>
      </c>
      <c r="B47">
        <f t="shared" si="4"/>
        <v>5</v>
      </c>
      <c r="C47">
        <v>7</v>
      </c>
      <c r="D47">
        <f t="shared" si="1"/>
        <v>-2</v>
      </c>
      <c r="F47">
        <v>1</v>
      </c>
      <c r="G47">
        <v>2</v>
      </c>
      <c r="H47">
        <v>1</v>
      </c>
      <c r="I47">
        <v>1</v>
      </c>
      <c r="X47">
        <f t="shared" si="2"/>
        <v>41.666666666666671</v>
      </c>
      <c r="Y47" s="2" t="s">
        <v>11</v>
      </c>
      <c r="Z47">
        <v>1</v>
      </c>
      <c r="AA47">
        <v>27</v>
      </c>
    </row>
    <row r="48" spans="1:27" x14ac:dyDescent="0.25">
      <c r="A48" s="3" t="s">
        <v>67</v>
      </c>
      <c r="B48">
        <v>3</v>
      </c>
      <c r="C48">
        <v>0</v>
      </c>
      <c r="D48">
        <f t="shared" si="1"/>
        <v>3</v>
      </c>
      <c r="I48">
        <v>3</v>
      </c>
      <c r="X48">
        <f t="shared" si="2"/>
        <v>100</v>
      </c>
      <c r="Y48" s="2" t="s">
        <v>9</v>
      </c>
      <c r="Z48">
        <v>1</v>
      </c>
      <c r="AA48">
        <v>22</v>
      </c>
    </row>
    <row r="49" spans="1:27" x14ac:dyDescent="0.25">
      <c r="A49" s="3" t="s">
        <v>29</v>
      </c>
      <c r="B49">
        <f t="shared" si="4"/>
        <v>6</v>
      </c>
      <c r="C49">
        <v>6</v>
      </c>
      <c r="D49">
        <f t="shared" si="1"/>
        <v>0</v>
      </c>
      <c r="F49">
        <v>1</v>
      </c>
      <c r="G49">
        <v>1</v>
      </c>
      <c r="H49">
        <v>3</v>
      </c>
      <c r="I49">
        <v>1</v>
      </c>
      <c r="X49">
        <f t="shared" si="2"/>
        <v>50</v>
      </c>
      <c r="Y49" s="2" t="s">
        <v>33</v>
      </c>
      <c r="Z49">
        <v>1</v>
      </c>
      <c r="AA49">
        <v>24</v>
      </c>
    </row>
    <row r="50" spans="1:27" x14ac:dyDescent="0.25">
      <c r="A50" s="3" t="s">
        <v>30</v>
      </c>
      <c r="B50">
        <f t="shared" si="4"/>
        <v>8</v>
      </c>
      <c r="C50">
        <v>4</v>
      </c>
      <c r="D50">
        <f t="shared" si="1"/>
        <v>4</v>
      </c>
      <c r="F50">
        <v>2</v>
      </c>
      <c r="G50">
        <v>2</v>
      </c>
      <c r="H50">
        <v>2</v>
      </c>
      <c r="I50">
        <v>2</v>
      </c>
      <c r="X50">
        <f t="shared" si="2"/>
        <v>66.666666666666657</v>
      </c>
      <c r="Y50" s="2" t="s">
        <v>33</v>
      </c>
    </row>
    <row r="51" spans="1:27" x14ac:dyDescent="0.25">
      <c r="A51" s="3" t="s">
        <v>31</v>
      </c>
      <c r="B51">
        <f t="shared" si="4"/>
        <v>0</v>
      </c>
      <c r="C51">
        <v>3</v>
      </c>
      <c r="D51">
        <f t="shared" si="1"/>
        <v>-3</v>
      </c>
      <c r="F51">
        <v>0</v>
      </c>
      <c r="X51">
        <f t="shared" si="2"/>
        <v>0</v>
      </c>
      <c r="Y51" s="2" t="s">
        <v>33</v>
      </c>
    </row>
    <row r="52" spans="1:27" x14ac:dyDescent="0.25">
      <c r="A52" s="3" t="s">
        <v>32</v>
      </c>
      <c r="B52">
        <f t="shared" si="4"/>
        <v>2</v>
      </c>
      <c r="C52">
        <v>4</v>
      </c>
      <c r="D52">
        <f t="shared" si="1"/>
        <v>-2</v>
      </c>
      <c r="G52">
        <v>1</v>
      </c>
      <c r="H52">
        <v>1</v>
      </c>
      <c r="X52">
        <f t="shared" si="2"/>
        <v>33.333333333333329</v>
      </c>
      <c r="Y52" s="2" t="s">
        <v>33</v>
      </c>
    </row>
    <row r="53" spans="1:27" x14ac:dyDescent="0.25">
      <c r="A53" s="4" t="s">
        <v>39</v>
      </c>
      <c r="B53" s="4">
        <f>SUM(F53:W53)</f>
        <v>26</v>
      </c>
      <c r="C53" s="4">
        <f>SUM(C54:C58)</f>
        <v>22</v>
      </c>
      <c r="D53" s="4">
        <f t="shared" si="1"/>
        <v>4</v>
      </c>
      <c r="E53" s="4"/>
      <c r="F53" s="4">
        <v>5</v>
      </c>
      <c r="G53" s="4">
        <v>5</v>
      </c>
      <c r="H53" s="4">
        <v>7</v>
      </c>
      <c r="I53" s="4">
        <v>9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6"/>
      <c r="Z53" s="4"/>
      <c r="AA53" s="4"/>
    </row>
    <row r="54" spans="1:27" x14ac:dyDescent="0.25">
      <c r="A54" s="3" t="s">
        <v>59</v>
      </c>
      <c r="B54">
        <f t="shared" si="4"/>
        <v>7</v>
      </c>
      <c r="C54">
        <v>2</v>
      </c>
      <c r="D54">
        <f t="shared" si="1"/>
        <v>5</v>
      </c>
      <c r="G54">
        <v>2</v>
      </c>
      <c r="H54">
        <v>3</v>
      </c>
      <c r="I54">
        <v>2</v>
      </c>
      <c r="X54">
        <f t="shared" si="2"/>
        <v>77.777777777777786</v>
      </c>
      <c r="Y54" s="2" t="s">
        <v>11</v>
      </c>
      <c r="Z54">
        <v>2</v>
      </c>
      <c r="AA54">
        <v>38</v>
      </c>
    </row>
    <row r="55" spans="1:27" x14ac:dyDescent="0.25">
      <c r="A55" s="3" t="s">
        <v>40</v>
      </c>
      <c r="B55">
        <f>SUM(F55:W55)</f>
        <v>2</v>
      </c>
      <c r="C55">
        <v>7</v>
      </c>
      <c r="D55">
        <f t="shared" si="1"/>
        <v>-5</v>
      </c>
      <c r="F55">
        <v>1</v>
      </c>
      <c r="G55">
        <v>0</v>
      </c>
      <c r="H55">
        <v>1</v>
      </c>
      <c r="X55">
        <f t="shared" si="2"/>
        <v>22.222222222222221</v>
      </c>
      <c r="Y55" s="2" t="s">
        <v>25</v>
      </c>
      <c r="Z55">
        <v>1</v>
      </c>
      <c r="AA55">
        <v>20</v>
      </c>
    </row>
    <row r="56" spans="1:27" x14ac:dyDescent="0.25">
      <c r="A56" s="3" t="s">
        <v>41</v>
      </c>
      <c r="B56">
        <f t="shared" si="4"/>
        <v>5</v>
      </c>
      <c r="C56">
        <v>7</v>
      </c>
      <c r="D56">
        <f t="shared" si="1"/>
        <v>-2</v>
      </c>
      <c r="F56">
        <v>2</v>
      </c>
      <c r="G56">
        <v>1</v>
      </c>
      <c r="H56">
        <v>1</v>
      </c>
      <c r="I56">
        <v>1</v>
      </c>
      <c r="X56">
        <f t="shared" si="2"/>
        <v>41.666666666666671</v>
      </c>
      <c r="Y56" s="2" t="s">
        <v>25</v>
      </c>
    </row>
    <row r="57" spans="1:27" x14ac:dyDescent="0.25">
      <c r="A57" s="3" t="s">
        <v>42</v>
      </c>
      <c r="B57">
        <f t="shared" si="4"/>
        <v>7</v>
      </c>
      <c r="C57">
        <v>2</v>
      </c>
      <c r="D57">
        <f t="shared" si="1"/>
        <v>5</v>
      </c>
      <c r="F57">
        <v>2</v>
      </c>
      <c r="G57">
        <v>2</v>
      </c>
      <c r="I57">
        <v>3</v>
      </c>
      <c r="X57">
        <f t="shared" si="2"/>
        <v>77.777777777777786</v>
      </c>
      <c r="Y57" s="2" t="s">
        <v>25</v>
      </c>
    </row>
    <row r="58" spans="1:27" x14ac:dyDescent="0.25">
      <c r="A58" s="3" t="s">
        <v>43</v>
      </c>
      <c r="B58">
        <f>SUM(F58:W58)</f>
        <v>5</v>
      </c>
      <c r="C58">
        <v>4</v>
      </c>
      <c r="D58">
        <f t="shared" si="1"/>
        <v>1</v>
      </c>
      <c r="F58">
        <v>0</v>
      </c>
      <c r="H58">
        <v>2</v>
      </c>
      <c r="I58">
        <v>3</v>
      </c>
      <c r="X58">
        <f t="shared" si="2"/>
        <v>55.555555555555557</v>
      </c>
      <c r="Y58" s="2" t="s">
        <v>33</v>
      </c>
    </row>
  </sheetData>
  <conditionalFormatting sqref="A5:AA11 A13:AA16 A34:AA39 A41:AA45 A54:AA58 A47:AA52 A25:AA32 A18:AA23">
    <cfRule type="expression" dxfId="1" priority="2">
      <formula>MOD(ROW(),2)=1</formula>
    </cfRule>
  </conditionalFormatting>
  <conditionalFormatting sqref="A5:AA11 A13:AA16 A34:AA39 A41:AA45 A54:AA58 A47:AA52 A25:AA32 A18:AA23">
    <cfRule type="expression" dxfId="0" priority="1">
      <formula>MOD(ROW(),2)=0</formula>
    </cfRule>
  </conditionalFormatting>
  <pageMargins left="0.7" right="0.7" top="0.75" bottom="0.7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cp:lastPrinted>2018-02-21T04:28:19Z</cp:lastPrinted>
  <dcterms:created xsi:type="dcterms:W3CDTF">2018-02-13T23:16:41Z</dcterms:created>
  <dcterms:modified xsi:type="dcterms:W3CDTF">2018-03-06T03:56:53Z</dcterms:modified>
</cp:coreProperties>
</file>