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/>
  <mc:AlternateContent xmlns:mc="http://schemas.openxmlformats.org/markup-compatibility/2006">
    <mc:Choice Requires="x15">
      <x15ac:absPath xmlns:x15ac="http://schemas.microsoft.com/office/spreadsheetml/2010/11/ac" url="C:\Users\Neville\Documents\Ballarat BBSA\BBSA\Billiards\"/>
    </mc:Choice>
  </mc:AlternateContent>
  <xr:revisionPtr revIDLastSave="0" documentId="13_ncr:1_{F652134D-1F70-4548-9D5D-74662C62971D}" xr6:coauthVersionLast="47" xr6:coauthVersionMax="47" xr10:uidLastSave="{00000000-0000-0000-0000-000000000000}"/>
  <bookViews>
    <workbookView xWindow="615" yWindow="0" windowWidth="19650" windowHeight="11235" firstSheet="2" activeTab="4" xr2:uid="{00000000-000D-0000-FFFF-FFFF00000000}"/>
  </bookViews>
  <sheets>
    <sheet name="HandicapValues" sheetId="1" r:id="rId1"/>
    <sheet name="Handicaps" sheetId="4" r:id="rId2"/>
    <sheet name="BilliardStats" sheetId="3" r:id="rId3"/>
    <sheet name="Teams" sheetId="5" r:id="rId4"/>
    <sheet name="BilliardResults R1" sheetId="2" r:id="rId5"/>
    <sheet name="BilliardResults R2" sheetId="6" r:id="rId6"/>
  </sheets>
  <definedNames>
    <definedName name="_xlnm.Print_Area" localSheetId="1">Handicaps!$A$1:$K$23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33" i="2" l="1"/>
  <c r="C33" i="2"/>
  <c r="F26" i="2"/>
  <c r="C26" i="2"/>
  <c r="F19" i="2"/>
  <c r="C19" i="2"/>
  <c r="F40" i="1"/>
  <c r="G40" i="1" s="1"/>
  <c r="I9" i="6"/>
  <c r="F9" i="6"/>
  <c r="I8" i="6"/>
  <c r="F8" i="6"/>
  <c r="I7" i="6"/>
  <c r="F7" i="6"/>
  <c r="I6" i="6"/>
  <c r="F6" i="6"/>
  <c r="I5" i="6"/>
  <c r="F5" i="6"/>
  <c r="I4" i="6"/>
  <c r="F4" i="6"/>
  <c r="C41" i="3"/>
  <c r="B41" i="3"/>
  <c r="C34" i="3"/>
  <c r="B34" i="3"/>
  <c r="C28" i="3"/>
  <c r="B28" i="3"/>
  <c r="C49" i="3"/>
  <c r="B49" i="3"/>
  <c r="D49" i="3" s="1"/>
  <c r="C40" i="3"/>
  <c r="B40" i="3"/>
  <c r="F41" i="3"/>
  <c r="G41" i="3"/>
  <c r="H41" i="3"/>
  <c r="I41" i="3"/>
  <c r="J41" i="3"/>
  <c r="K41" i="3"/>
  <c r="L41" i="3"/>
  <c r="M41" i="3"/>
  <c r="N41" i="3"/>
  <c r="O41" i="3"/>
  <c r="P41" i="3"/>
  <c r="Q41" i="3"/>
  <c r="R41" i="3"/>
  <c r="S41" i="3"/>
  <c r="T41" i="3"/>
  <c r="C33" i="3"/>
  <c r="B33" i="3"/>
  <c r="C10" i="3"/>
  <c r="B10" i="3"/>
  <c r="C19" i="3"/>
  <c r="B19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T20" i="3"/>
  <c r="T50" i="3"/>
  <c r="S50" i="3"/>
  <c r="R50" i="3"/>
  <c r="Q50" i="3"/>
  <c r="P50" i="3"/>
  <c r="O50" i="3"/>
  <c r="N50" i="3"/>
  <c r="M50" i="3"/>
  <c r="L50" i="3"/>
  <c r="K50" i="3"/>
  <c r="J50" i="3"/>
  <c r="I50" i="3"/>
  <c r="H50" i="3"/>
  <c r="G50" i="3"/>
  <c r="F50" i="3"/>
  <c r="C48" i="3"/>
  <c r="B48" i="3"/>
  <c r="C47" i="3"/>
  <c r="B47" i="3"/>
  <c r="C46" i="3"/>
  <c r="B46" i="3"/>
  <c r="V46" i="3"/>
  <c r="V9" i="3"/>
  <c r="V13" i="3"/>
  <c r="C17" i="3"/>
  <c r="B17" i="3"/>
  <c r="C16" i="3"/>
  <c r="B16" i="3"/>
  <c r="G47" i="1"/>
  <c r="V22" i="3" s="1"/>
  <c r="F47" i="1"/>
  <c r="G46" i="1"/>
  <c r="V39" i="3" s="1"/>
  <c r="F46" i="1"/>
  <c r="G45" i="1"/>
  <c r="V38" i="3" s="1"/>
  <c r="F45" i="1"/>
  <c r="G44" i="1"/>
  <c r="V12" i="3" s="1"/>
  <c r="F44" i="1"/>
  <c r="G43" i="1"/>
  <c r="F43" i="1"/>
  <c r="G42" i="1"/>
  <c r="V26" i="3" s="1"/>
  <c r="F42" i="1"/>
  <c r="G41" i="1"/>
  <c r="V48" i="3" s="1"/>
  <c r="F41" i="1"/>
  <c r="G39" i="1"/>
  <c r="V42" i="3" s="1"/>
  <c r="F39" i="1"/>
  <c r="G38" i="1"/>
  <c r="F38" i="1"/>
  <c r="G37" i="1"/>
  <c r="V18" i="3" s="1"/>
  <c r="F37" i="1"/>
  <c r="G36" i="1"/>
  <c r="V14" i="3" s="1"/>
  <c r="F36" i="1"/>
  <c r="G35" i="1"/>
  <c r="V17" i="3" s="1"/>
  <c r="F35" i="1"/>
  <c r="G34" i="1"/>
  <c r="F34" i="1"/>
  <c r="G33" i="1"/>
  <c r="F33" i="1"/>
  <c r="G32" i="1"/>
  <c r="K34" i="4" s="1"/>
  <c r="F32" i="1"/>
  <c r="G31" i="1"/>
  <c r="V31" i="3" s="1"/>
  <c r="F31" i="1"/>
  <c r="G30" i="1"/>
  <c r="V43" i="3" s="1"/>
  <c r="F30" i="1"/>
  <c r="G29" i="1"/>
  <c r="V16" i="3" s="1"/>
  <c r="F29" i="1"/>
  <c r="G28" i="1"/>
  <c r="V7" i="3" s="1"/>
  <c r="F28" i="1"/>
  <c r="G27" i="1"/>
  <c r="F27" i="1"/>
  <c r="G26" i="1"/>
  <c r="F26" i="1"/>
  <c r="G25" i="1"/>
  <c r="V15" i="3" s="1"/>
  <c r="F25" i="1"/>
  <c r="G24" i="1"/>
  <c r="V23" i="3" s="1"/>
  <c r="F24" i="1"/>
  <c r="G23" i="1"/>
  <c r="V25" i="3" s="1"/>
  <c r="F23" i="1"/>
  <c r="G22" i="1"/>
  <c r="V29" i="3" s="1"/>
  <c r="F22" i="1"/>
  <c r="G21" i="1"/>
  <c r="V36" i="3" s="1"/>
  <c r="F21" i="1"/>
  <c r="G20" i="1"/>
  <c r="V37" i="3" s="1"/>
  <c r="F20" i="1"/>
  <c r="G19" i="1"/>
  <c r="F19" i="1"/>
  <c r="G18" i="1"/>
  <c r="V21" i="3" s="1"/>
  <c r="F18" i="1"/>
  <c r="G17" i="1"/>
  <c r="K28" i="4" s="1"/>
  <c r="F17" i="1"/>
  <c r="G16" i="1"/>
  <c r="F16" i="1"/>
  <c r="G15" i="1"/>
  <c r="F15" i="1"/>
  <c r="G14" i="1"/>
  <c r="V35" i="3" s="1"/>
  <c r="F14" i="1"/>
  <c r="G13" i="1"/>
  <c r="V45" i="3" s="1"/>
  <c r="F13" i="1"/>
  <c r="G12" i="1"/>
  <c r="F12" i="1"/>
  <c r="G11" i="1"/>
  <c r="V30" i="3" s="1"/>
  <c r="F11" i="1"/>
  <c r="G10" i="1"/>
  <c r="V32" i="3" s="1"/>
  <c r="F10" i="1"/>
  <c r="G9" i="1"/>
  <c r="K30" i="4" s="1"/>
  <c r="F9" i="1"/>
  <c r="G8" i="1"/>
  <c r="V8" i="3" s="1"/>
  <c r="F8" i="1"/>
  <c r="G7" i="1"/>
  <c r="V6" i="3" s="1"/>
  <c r="F7" i="1"/>
  <c r="G6" i="1"/>
  <c r="V47" i="3" s="1"/>
  <c r="F6" i="1"/>
  <c r="G4" i="1"/>
  <c r="F4" i="1"/>
  <c r="G3" i="1"/>
  <c r="F3" i="1"/>
  <c r="G2" i="1"/>
  <c r="F2" i="1"/>
  <c r="K35" i="4"/>
  <c r="K33" i="4"/>
  <c r="K32" i="4"/>
  <c r="K31" i="4"/>
  <c r="K29" i="4"/>
  <c r="K27" i="4"/>
  <c r="H21" i="4"/>
  <c r="H20" i="4"/>
  <c r="H19" i="4"/>
  <c r="H18" i="4"/>
  <c r="H15" i="4"/>
  <c r="E17" i="4"/>
  <c r="E15" i="4"/>
  <c r="B21" i="4"/>
  <c r="B20" i="4"/>
  <c r="B19" i="4"/>
  <c r="B18" i="4"/>
  <c r="B17" i="4"/>
  <c r="B15" i="4"/>
  <c r="K7" i="4"/>
  <c r="K6" i="4"/>
  <c r="K5" i="4"/>
  <c r="H9" i="4"/>
  <c r="H8" i="4"/>
  <c r="H7" i="4"/>
  <c r="H6" i="4"/>
  <c r="H5" i="4"/>
  <c r="E10" i="4"/>
  <c r="E9" i="4"/>
  <c r="E8" i="4"/>
  <c r="E7" i="4"/>
  <c r="E6" i="4"/>
  <c r="E5" i="4"/>
  <c r="B8" i="4"/>
  <c r="B7" i="4"/>
  <c r="B6" i="4"/>
  <c r="B5" i="4"/>
  <c r="H15" i="1"/>
  <c r="H44" i="1"/>
  <c r="H5" i="1"/>
  <c r="H16" i="1"/>
  <c r="H41" i="1"/>
  <c r="H17" i="1"/>
  <c r="H6" i="1"/>
  <c r="H3" i="1"/>
  <c r="H40" i="1"/>
  <c r="H29" i="1"/>
  <c r="H10" i="1"/>
  <c r="H47" i="1"/>
  <c r="H19" i="1"/>
  <c r="H18" i="1"/>
  <c r="H22" i="1"/>
  <c r="H23" i="1"/>
  <c r="H43" i="1"/>
  <c r="H30" i="1"/>
  <c r="H25" i="1"/>
  <c r="H38" i="1"/>
  <c r="H42" i="1"/>
  <c r="H4" i="1"/>
  <c r="H33" i="1"/>
  <c r="H24" i="1"/>
  <c r="H39" i="1"/>
  <c r="H11" i="1"/>
  <c r="H12" i="1"/>
  <c r="H36" i="1"/>
  <c r="H21" i="1"/>
  <c r="H46" i="1"/>
  <c r="H13" i="1"/>
  <c r="H31" i="1"/>
  <c r="H45" i="1"/>
  <c r="H32" i="1"/>
  <c r="H7" i="1"/>
  <c r="H26" i="1"/>
  <c r="H20" i="1"/>
  <c r="H2" i="1"/>
  <c r="H37" i="1"/>
  <c r="H27" i="1"/>
  <c r="H28" i="1"/>
  <c r="H9" i="1"/>
  <c r="H34" i="1"/>
  <c r="H8" i="1"/>
  <c r="H14" i="1"/>
  <c r="H35" i="1"/>
  <c r="F5" i="1"/>
  <c r="G5" i="1"/>
  <c r="B16" i="4" s="1"/>
  <c r="F7" i="2"/>
  <c r="F9" i="2"/>
  <c r="F5" i="2"/>
  <c r="F8" i="2"/>
  <c r="F10" i="2"/>
  <c r="V44" i="3" l="1"/>
  <c r="H17" i="4"/>
  <c r="E16" i="4"/>
  <c r="E18" i="4"/>
  <c r="V24" i="3"/>
  <c r="D40" i="3"/>
  <c r="D10" i="3"/>
  <c r="D33" i="3"/>
  <c r="D19" i="3"/>
  <c r="U17" i="3"/>
  <c r="U46" i="3"/>
  <c r="U47" i="3"/>
  <c r="U48" i="3"/>
  <c r="D16" i="3"/>
  <c r="D17" i="3"/>
  <c r="U16" i="3"/>
  <c r="D46" i="3"/>
  <c r="D47" i="3"/>
  <c r="D48" i="3"/>
  <c r="H16" i="4"/>
  <c r="C43" i="3"/>
  <c r="C44" i="3"/>
  <c r="C45" i="3"/>
  <c r="C42" i="3"/>
  <c r="B43" i="3"/>
  <c r="B44" i="3"/>
  <c r="D44" i="3" s="1"/>
  <c r="B45" i="3"/>
  <c r="B42" i="3"/>
  <c r="B36" i="3"/>
  <c r="B37" i="3"/>
  <c r="B38" i="3"/>
  <c r="B39" i="3"/>
  <c r="C36" i="3"/>
  <c r="C37" i="3"/>
  <c r="C38" i="3"/>
  <c r="C39" i="3"/>
  <c r="C35" i="3"/>
  <c r="B35" i="3"/>
  <c r="G34" i="3"/>
  <c r="H34" i="3"/>
  <c r="I34" i="3"/>
  <c r="J34" i="3"/>
  <c r="K34" i="3"/>
  <c r="L34" i="3"/>
  <c r="M34" i="3"/>
  <c r="N34" i="3"/>
  <c r="O34" i="3"/>
  <c r="P34" i="3"/>
  <c r="Q34" i="3"/>
  <c r="R34" i="3"/>
  <c r="S34" i="3"/>
  <c r="T34" i="3"/>
  <c r="F34" i="3"/>
  <c r="G28" i="3"/>
  <c r="H28" i="3"/>
  <c r="I28" i="3"/>
  <c r="J28" i="3"/>
  <c r="K28" i="3"/>
  <c r="L28" i="3"/>
  <c r="M28" i="3"/>
  <c r="N28" i="3"/>
  <c r="O28" i="3"/>
  <c r="P28" i="3"/>
  <c r="Q28" i="3"/>
  <c r="R28" i="3"/>
  <c r="S28" i="3"/>
  <c r="T28" i="3"/>
  <c r="F28" i="3"/>
  <c r="C29" i="3"/>
  <c r="B29" i="3"/>
  <c r="C22" i="3"/>
  <c r="C23" i="3"/>
  <c r="C24" i="3"/>
  <c r="C25" i="3"/>
  <c r="C26" i="3"/>
  <c r="C27" i="3"/>
  <c r="C21" i="3"/>
  <c r="B22" i="3"/>
  <c r="B23" i="3"/>
  <c r="B24" i="3"/>
  <c r="B25" i="3"/>
  <c r="B26" i="3"/>
  <c r="B27" i="3"/>
  <c r="B21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F5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F11" i="3"/>
  <c r="C7" i="3"/>
  <c r="C8" i="3"/>
  <c r="C9" i="3"/>
  <c r="C6" i="3"/>
  <c r="B7" i="3"/>
  <c r="B8" i="3"/>
  <c r="B9" i="3"/>
  <c r="B6" i="3"/>
  <c r="C13" i="3"/>
  <c r="C14" i="3"/>
  <c r="C15" i="3"/>
  <c r="C18" i="3"/>
  <c r="B13" i="3"/>
  <c r="D13" i="3" s="1"/>
  <c r="B14" i="3"/>
  <c r="B15" i="3"/>
  <c r="B18" i="3"/>
  <c r="C12" i="3"/>
  <c r="C11" i="3" l="1"/>
  <c r="B5" i="3"/>
  <c r="C5" i="3"/>
  <c r="B20" i="3"/>
  <c r="C20" i="3"/>
  <c r="U44" i="3"/>
  <c r="D18" i="3"/>
  <c r="D15" i="3"/>
  <c r="D14" i="3"/>
  <c r="D41" i="3" l="1"/>
  <c r="D20" i="3"/>
  <c r="I7" i="2"/>
  <c r="I9" i="2"/>
  <c r="I5" i="2"/>
  <c r="I8" i="2"/>
  <c r="I10" i="2"/>
  <c r="I6" i="2"/>
  <c r="F6" i="2"/>
  <c r="U18" i="3" l="1"/>
  <c r="D35" i="3" l="1"/>
  <c r="B30" i="3"/>
  <c r="B31" i="3"/>
  <c r="C31" i="3" s="1"/>
  <c r="U31" i="3" s="1"/>
  <c r="B32" i="3"/>
  <c r="C30" i="3" l="1"/>
  <c r="D30" i="3" s="1"/>
  <c r="U9" i="3"/>
  <c r="U21" i="3"/>
  <c r="D21" i="3"/>
  <c r="D45" i="3"/>
  <c r="U45" i="3"/>
  <c r="D39" i="3"/>
  <c r="D38" i="3"/>
  <c r="D37" i="3"/>
  <c r="D36" i="3"/>
  <c r="U35" i="3"/>
  <c r="C32" i="3"/>
  <c r="D32" i="3" s="1"/>
  <c r="D31" i="3"/>
  <c r="D29" i="3"/>
  <c r="U29" i="3"/>
  <c r="U25" i="3"/>
  <c r="U26" i="3"/>
  <c r="D24" i="3"/>
  <c r="D23" i="3"/>
  <c r="D22" i="3"/>
  <c r="D9" i="3"/>
  <c r="U8" i="3"/>
  <c r="U7" i="3"/>
  <c r="D6" i="3"/>
  <c r="U6" i="3"/>
  <c r="U30" i="3" l="1"/>
  <c r="D43" i="3"/>
  <c r="U43" i="3"/>
  <c r="D34" i="3"/>
  <c r="U39" i="3"/>
  <c r="U38" i="3"/>
  <c r="U37" i="3"/>
  <c r="U36" i="3"/>
  <c r="U32" i="3"/>
  <c r="D28" i="3"/>
  <c r="D27" i="3"/>
  <c r="D25" i="3"/>
  <c r="D26" i="3"/>
  <c r="U24" i="3"/>
  <c r="U23" i="3"/>
  <c r="U22" i="3"/>
  <c r="D8" i="3"/>
  <c r="D7" i="3"/>
  <c r="U13" i="3"/>
  <c r="D42" i="3" l="1"/>
  <c r="U42" i="3"/>
  <c r="D5" i="3"/>
  <c r="U14" i="3"/>
  <c r="U15" i="3" l="1"/>
  <c r="B12" i="3"/>
  <c r="B11" i="3" s="1"/>
  <c r="D11" i="3" s="1"/>
  <c r="U12" i="3" l="1"/>
  <c r="D12" i="3"/>
</calcChain>
</file>

<file path=xl/sharedStrings.xml><?xml version="1.0" encoding="utf-8"?>
<sst xmlns="http://schemas.openxmlformats.org/spreadsheetml/2006/main" count="392" uniqueCount="192">
  <si>
    <t>First Name</t>
  </si>
  <si>
    <t>Last Name</t>
  </si>
  <si>
    <t>Handicap</t>
  </si>
  <si>
    <t>Musgrove</t>
  </si>
  <si>
    <t>Andrew</t>
  </si>
  <si>
    <t>Spalding</t>
  </si>
  <si>
    <t>Liston</t>
  </si>
  <si>
    <t>Neville</t>
  </si>
  <si>
    <t>Harty</t>
  </si>
  <si>
    <t>Wins</t>
  </si>
  <si>
    <t>Losses</t>
  </si>
  <si>
    <t>New Handicap</t>
  </si>
  <si>
    <t>Difference</t>
  </si>
  <si>
    <t xml:space="preserve">David </t>
  </si>
  <si>
    <t>Palmer</t>
  </si>
  <si>
    <t>Gavin</t>
  </si>
  <si>
    <t>Wilson</t>
  </si>
  <si>
    <t>Mick</t>
  </si>
  <si>
    <t>Williams</t>
  </si>
  <si>
    <t>Clack</t>
  </si>
  <si>
    <t>Crocker</t>
  </si>
  <si>
    <t>John</t>
  </si>
  <si>
    <t>Lewis</t>
  </si>
  <si>
    <t>Grubb</t>
  </si>
  <si>
    <t>Lockyer</t>
  </si>
  <si>
    <t>Lahey</t>
  </si>
  <si>
    <t>Eltringham</t>
  </si>
  <si>
    <t>Peter</t>
  </si>
  <si>
    <t>Oates</t>
  </si>
  <si>
    <t>Page</t>
  </si>
  <si>
    <t>Shaune</t>
  </si>
  <si>
    <t>Hardy</t>
  </si>
  <si>
    <t xml:space="preserve">Ross </t>
  </si>
  <si>
    <t>Boag</t>
  </si>
  <si>
    <t>Dale</t>
  </si>
  <si>
    <t>Bridges</t>
  </si>
  <si>
    <t>Ron</t>
  </si>
  <si>
    <t>Callender</t>
  </si>
  <si>
    <t>Smiley</t>
  </si>
  <si>
    <t>McLean</t>
  </si>
  <si>
    <t>Challis</t>
  </si>
  <si>
    <t>Ivan</t>
  </si>
  <si>
    <t>Crowley</t>
  </si>
  <si>
    <t>Team</t>
  </si>
  <si>
    <t>OCC-2</t>
  </si>
  <si>
    <t>OCC-1</t>
  </si>
  <si>
    <t>VRI-Angwin</t>
  </si>
  <si>
    <t>Player</t>
  </si>
  <si>
    <t>Won</t>
  </si>
  <si>
    <t>Lost</t>
  </si>
  <si>
    <t>Dif.</t>
  </si>
  <si>
    <t>%</t>
  </si>
  <si>
    <t>Hcp</t>
  </si>
  <si>
    <t xml:space="preserve"> =&gt; 20</t>
  </si>
  <si>
    <t>HB</t>
  </si>
  <si>
    <t>Graeme Musgrove</t>
  </si>
  <si>
    <t>Rohan Liston</t>
  </si>
  <si>
    <t>A.Williams</t>
  </si>
  <si>
    <t>David Palmer</t>
  </si>
  <si>
    <t>Gavin Wilson</t>
  </si>
  <si>
    <t>Mick Williams</t>
  </si>
  <si>
    <t>Ben Cahill</t>
  </si>
  <si>
    <t>Wayne Clack</t>
  </si>
  <si>
    <t>Jason Crocker</t>
  </si>
  <si>
    <t>John Lewis</t>
  </si>
  <si>
    <t>John Grubb</t>
  </si>
  <si>
    <t>Ivan Crowley</t>
  </si>
  <si>
    <t>Geoff Lockyer</t>
  </si>
  <si>
    <t>Selwyn Lahey</t>
  </si>
  <si>
    <t>John Eltringham</t>
  </si>
  <si>
    <t>Geoff Challis</t>
  </si>
  <si>
    <t>Peter Oates</t>
  </si>
  <si>
    <t>Stuart Page</t>
  </si>
  <si>
    <t>Shaune Hardy</t>
  </si>
  <si>
    <t>Ross Boag</t>
  </si>
  <si>
    <t>Dale Bridges</t>
  </si>
  <si>
    <t>Ron Callender</t>
  </si>
  <si>
    <t>Jason Smiley</t>
  </si>
  <si>
    <t>Neville Harty</t>
  </si>
  <si>
    <t>Ben</t>
  </si>
  <si>
    <t>Cahill</t>
  </si>
  <si>
    <t>Ray</t>
  </si>
  <si>
    <t>Round 1</t>
  </si>
  <si>
    <t>A-Wright</t>
  </si>
  <si>
    <t>VRI-Mac</t>
  </si>
  <si>
    <t>Graeme Wright</t>
  </si>
  <si>
    <t>Jayson McLean</t>
  </si>
  <si>
    <t>Trevor Moore</t>
  </si>
  <si>
    <t>Ray Wilson</t>
  </si>
  <si>
    <t>Greg Allison</t>
  </si>
  <si>
    <t>Ian Benton</t>
  </si>
  <si>
    <t>Phil Paige</t>
  </si>
  <si>
    <t>Ian Boyle</t>
  </si>
  <si>
    <t>Gordon Males</t>
  </si>
  <si>
    <t>Corey Lee</t>
  </si>
  <si>
    <t>Ray Letcher</t>
  </si>
  <si>
    <t>Mac Rynkiewicz</t>
  </si>
  <si>
    <t>Matthew White</t>
  </si>
  <si>
    <t>Roger Jones</t>
  </si>
  <si>
    <t xml:space="preserve">Matches Won  </t>
  </si>
  <si>
    <t>Matches Lost</t>
  </si>
  <si>
    <t>Games Won</t>
  </si>
  <si>
    <t>Games Lost</t>
  </si>
  <si>
    <t>Points For</t>
  </si>
  <si>
    <t>Points Against</t>
  </si>
  <si>
    <t>Pts %</t>
  </si>
  <si>
    <t xml:space="preserve">Greg </t>
  </si>
  <si>
    <t>Allison</t>
  </si>
  <si>
    <t>Graeme</t>
  </si>
  <si>
    <t>Wright</t>
  </si>
  <si>
    <t xml:space="preserve">Jason </t>
  </si>
  <si>
    <t xml:space="preserve">Stuart </t>
  </si>
  <si>
    <t xml:space="preserve">Trevor </t>
  </si>
  <si>
    <t>Moore</t>
  </si>
  <si>
    <t xml:space="preserve">Wayne </t>
  </si>
  <si>
    <t>Phil</t>
  </si>
  <si>
    <t>Paige</t>
  </si>
  <si>
    <t xml:space="preserve">Gordon </t>
  </si>
  <si>
    <t>Males</t>
  </si>
  <si>
    <t>Selwyn</t>
  </si>
  <si>
    <t>Geoff</t>
  </si>
  <si>
    <t>Letcher</t>
  </si>
  <si>
    <t>Rohan</t>
  </si>
  <si>
    <t>Roger</t>
  </si>
  <si>
    <t>Jones</t>
  </si>
  <si>
    <t>Jayson</t>
  </si>
  <si>
    <t>Ian</t>
  </si>
  <si>
    <t>Benton</t>
  </si>
  <si>
    <t>Mac</t>
  </si>
  <si>
    <t>Rynkiewicz</t>
  </si>
  <si>
    <t>Boyle</t>
  </si>
  <si>
    <t>Corey</t>
  </si>
  <si>
    <t>Lee</t>
  </si>
  <si>
    <t>Matthew</t>
  </si>
  <si>
    <t>White</t>
  </si>
  <si>
    <t>Prem.Points</t>
  </si>
  <si>
    <t>Eric Worsley</t>
  </si>
  <si>
    <t>Rod Vincent</t>
  </si>
  <si>
    <t>Rod Mc Callum</t>
  </si>
  <si>
    <t>Craig Bennett</t>
  </si>
  <si>
    <t>Las Ifca</t>
  </si>
  <si>
    <t>Mitch Calnin</t>
  </si>
  <si>
    <t>Rob Young</t>
  </si>
  <si>
    <t>Steve Bagshaw</t>
  </si>
  <si>
    <t>Not playing</t>
  </si>
  <si>
    <t>VRI-1-Wright</t>
  </si>
  <si>
    <t>VRI-2-Bridges</t>
  </si>
  <si>
    <t>Airport-2-G</t>
  </si>
  <si>
    <t>Airport-1-W</t>
  </si>
  <si>
    <t>Steve</t>
  </si>
  <si>
    <t>Bagshaw</t>
  </si>
  <si>
    <t>Craig</t>
  </si>
  <si>
    <t>Bennett</t>
  </si>
  <si>
    <t>Rod</t>
  </si>
  <si>
    <t>Las</t>
  </si>
  <si>
    <t>Ifca</t>
  </si>
  <si>
    <t>Mitch</t>
  </si>
  <si>
    <t>Calnin</t>
  </si>
  <si>
    <t>Rob</t>
  </si>
  <si>
    <t>Young</t>
  </si>
  <si>
    <t>Vincent</t>
  </si>
  <si>
    <t>Mc Callum</t>
  </si>
  <si>
    <t>BBSA Inc.  2022 Billiards Season</t>
  </si>
  <si>
    <t>Eric</t>
  </si>
  <si>
    <t>Wolsley</t>
  </si>
  <si>
    <t>Column1</t>
  </si>
  <si>
    <t>Eric Wolsley</t>
  </si>
  <si>
    <t>VRI-1-W</t>
  </si>
  <si>
    <r>
      <t>VRI-2-</t>
    </r>
    <r>
      <rPr>
        <sz val="11"/>
        <color theme="0"/>
        <rFont val="Bahnschrift"/>
        <family val="2"/>
      </rPr>
      <t>B</t>
    </r>
  </si>
  <si>
    <t>BBSA Billiards 2022 - Round 1</t>
  </si>
  <si>
    <t>Player 1</t>
  </si>
  <si>
    <t>Player 2</t>
  </si>
  <si>
    <t>Player 3</t>
  </si>
  <si>
    <t>Player 4</t>
  </si>
  <si>
    <t>Player 5</t>
  </si>
  <si>
    <t>Player 6</t>
  </si>
  <si>
    <t>Player 7</t>
  </si>
  <si>
    <t>Defeated</t>
  </si>
  <si>
    <t>Lost to</t>
  </si>
  <si>
    <t>Drew with</t>
  </si>
  <si>
    <t>Score</t>
  </si>
  <si>
    <t>Breaks +20</t>
  </si>
  <si>
    <t>Fill Ins</t>
  </si>
  <si>
    <t>2022 - Billiards Handicaps    Rounds 1 - 4</t>
  </si>
  <si>
    <t>37,31</t>
  </si>
  <si>
    <t>25,27</t>
  </si>
  <si>
    <t>39,24</t>
  </si>
  <si>
    <t>36,20</t>
  </si>
  <si>
    <t>27,21</t>
  </si>
  <si>
    <t>32,36</t>
  </si>
  <si>
    <t>25,24,22</t>
  </si>
  <si>
    <t>24,26,21,26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</si>
</sst>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0;\-0;;@"/>
    <numFmt numFmtId="165" formatCode="0.0"/>
    <numFmt numFmtId="166" formatCode="###0;###0"/>
  </numFmts>
  <fonts count="23" x14ac:knownFonts="1">
    <font>
      <sz val="11"/>
      <color theme="1"/>
      <name val="Calibri"/>
      <family val="2"/>
      <scheme val="minor"/>
    </font>
    <font>
      <sz val="14"/>
      <color theme="1"/>
      <name val="Bahnschrift"/>
      <family val="2"/>
    </font>
    <font>
      <sz val="11"/>
      <color theme="1"/>
      <name val="Bahnschrift"/>
      <family val="2"/>
    </font>
    <font>
      <b/>
      <sz val="11"/>
      <color theme="0"/>
      <name val="Bahnschrift"/>
      <family val="2"/>
    </font>
    <font>
      <b/>
      <sz val="11"/>
      <color theme="1"/>
      <name val="Bahnschrift"/>
      <family val="2"/>
    </font>
    <font>
      <sz val="14"/>
      <color theme="1"/>
      <name val="Calibri"/>
      <family val="2"/>
      <scheme val="minor"/>
    </font>
    <font>
      <sz val="11"/>
      <color theme="1"/>
      <name val="Calibri Bold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11"/>
      <color rgb="FF0070C0"/>
      <name val="Calibri"/>
      <family val="2"/>
    </font>
    <font>
      <sz val="10"/>
      <color rgb="FFFF0000"/>
      <name val="Arial"/>
      <family val="2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sz val="11"/>
      <color rgb="FF000000"/>
      <name val="Calibri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1"/>
      <color theme="0"/>
      <name val="Bahnschrift"/>
      <family val="2"/>
    </font>
    <font>
      <b/>
      <sz val="12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0"/>
        <bgColor theme="8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theme="8"/>
      </patternFill>
    </fill>
    <fill>
      <patternFill patternType="solid">
        <fgColor theme="0"/>
        <bgColor theme="8"/>
      </patternFill>
    </fill>
    <fill>
      <patternFill patternType="solid">
        <fgColor theme="4"/>
        <bgColor theme="1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theme="8" tint="0.39997558519241921"/>
      </left>
      <right/>
      <top style="thin">
        <color theme="8" tint="0.39997558519241921"/>
      </top>
      <bottom/>
      <diagonal/>
    </border>
    <border>
      <left/>
      <right/>
      <top style="thin">
        <color theme="8" tint="0.39997558519241921"/>
      </top>
      <bottom/>
      <diagonal/>
    </border>
    <border>
      <left/>
      <right style="thin">
        <color theme="8" tint="0.39997558519241921"/>
      </right>
      <top style="thin">
        <color theme="8" tint="0.39997558519241921"/>
      </top>
      <bottom/>
      <diagonal/>
    </border>
    <border>
      <left style="thin">
        <color theme="8" tint="0.39997558519241921"/>
      </left>
      <right/>
      <top/>
      <bottom/>
      <diagonal/>
    </border>
    <border>
      <left/>
      <right style="thin">
        <color theme="8" tint="0.39997558519241921"/>
      </right>
      <top/>
      <bottom/>
      <diagonal/>
    </border>
  </borders>
  <cellStyleXfs count="1">
    <xf numFmtId="0" fontId="0" fillId="0" borderId="0"/>
  </cellStyleXfs>
  <cellXfs count="91">
    <xf numFmtId="0" fontId="0" fillId="0" borderId="0" xfId="0"/>
    <xf numFmtId="1" fontId="0" fillId="0" borderId="0" xfId="0" applyNumberFormat="1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indent="2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164" fontId="3" fillId="2" borderId="2" xfId="0" applyNumberFormat="1" applyFont="1" applyFill="1" applyBorder="1" applyAlignment="1">
      <alignment horizontal="center"/>
    </xf>
    <xf numFmtId="0" fontId="3" fillId="2" borderId="3" xfId="0" applyFont="1" applyFill="1" applyBorder="1"/>
    <xf numFmtId="0" fontId="2" fillId="5" borderId="0" xfId="0" applyFont="1" applyFill="1" applyBorder="1"/>
    <xf numFmtId="0" fontId="2" fillId="5" borderId="0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left"/>
    </xf>
    <xf numFmtId="0" fontId="3" fillId="2" borderId="0" xfId="0" applyFont="1" applyFill="1" applyBorder="1"/>
    <xf numFmtId="164" fontId="3" fillId="2" borderId="0" xfId="0" applyNumberFormat="1" applyFont="1" applyFill="1" applyBorder="1" applyAlignment="1">
      <alignment horizontal="center"/>
    </xf>
    <xf numFmtId="0" fontId="3" fillId="2" borderId="5" xfId="0" applyFont="1" applyFill="1" applyBorder="1"/>
    <xf numFmtId="0" fontId="2" fillId="4" borderId="0" xfId="0" applyFont="1" applyFill="1" applyBorder="1" applyAlignment="1">
      <alignment horizontal="left" indent="2"/>
    </xf>
    <xf numFmtId="0" fontId="2" fillId="4" borderId="0" xfId="0" applyFont="1" applyFill="1" applyBorder="1"/>
    <xf numFmtId="0" fontId="2" fillId="4" borderId="0" xfId="0" applyFont="1" applyFill="1" applyBorder="1" applyAlignment="1">
      <alignment horizontal="center" vertical="center"/>
    </xf>
    <xf numFmtId="1" fontId="2" fillId="4" borderId="0" xfId="0" applyNumberFormat="1" applyFont="1" applyFill="1" applyBorder="1"/>
    <xf numFmtId="0" fontId="2" fillId="0" borderId="0" xfId="0" applyFont="1" applyBorder="1" applyAlignment="1">
      <alignment horizontal="left" indent="2"/>
    </xf>
    <xf numFmtId="0" fontId="2" fillId="5" borderId="0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left" indent="2"/>
    </xf>
    <xf numFmtId="0" fontId="3" fillId="2" borderId="0" xfId="0" applyFont="1" applyFill="1" applyBorder="1" applyAlignment="1">
      <alignment horizontal="left"/>
    </xf>
    <xf numFmtId="0" fontId="2" fillId="4" borderId="0" xfId="0" applyFont="1" applyFill="1" applyBorder="1" applyAlignment="1">
      <alignment horizontal="center"/>
    </xf>
    <xf numFmtId="9" fontId="4" fillId="7" borderId="0" xfId="0" applyNumberFormat="1" applyFont="1" applyFill="1" applyBorder="1"/>
    <xf numFmtId="9" fontId="4" fillId="6" borderId="0" xfId="0" applyNumberFormat="1" applyFont="1" applyFill="1" applyBorder="1"/>
    <xf numFmtId="0" fontId="2" fillId="3" borderId="0" xfId="0" applyFont="1" applyFill="1" applyBorder="1"/>
    <xf numFmtId="0" fontId="2" fillId="3" borderId="0" xfId="0" applyFont="1" applyFill="1" applyBorder="1" applyAlignment="1">
      <alignment horizontal="center"/>
    </xf>
    <xf numFmtId="0" fontId="0" fillId="0" borderId="0" xfId="0" applyFont="1"/>
    <xf numFmtId="0" fontId="5" fillId="0" borderId="0" xfId="0" applyFont="1" applyAlignment="1">
      <alignment horizontal="right" indent="10"/>
    </xf>
    <xf numFmtId="0" fontId="5" fillId="0" borderId="0" xfId="0" applyFont="1"/>
    <xf numFmtId="0" fontId="0" fillId="0" borderId="0" xfId="0" applyFont="1" applyAlignment="1">
      <alignment horizontal="left" indent="2"/>
    </xf>
    <xf numFmtId="0" fontId="0" fillId="0" borderId="0" xfId="0" applyFont="1" applyAlignment="1">
      <alignment horizontal="left"/>
    </xf>
    <xf numFmtId="0" fontId="6" fillId="0" borderId="0" xfId="0" applyFont="1"/>
    <xf numFmtId="0" fontId="7" fillId="0" borderId="0" xfId="0" applyFont="1"/>
    <xf numFmtId="0" fontId="8" fillId="0" borderId="0" xfId="0" applyFont="1"/>
    <xf numFmtId="165" fontId="9" fillId="0" borderId="0" xfId="0" applyNumberFormat="1" applyFont="1"/>
    <xf numFmtId="165" fontId="10" fillId="0" borderId="0" xfId="0" applyNumberFormat="1" applyFont="1"/>
    <xf numFmtId="165" fontId="11" fillId="0" borderId="0" xfId="0" applyNumberFormat="1" applyFont="1"/>
    <xf numFmtId="165" fontId="8" fillId="0" borderId="0" xfId="0" applyNumberFormat="1" applyFont="1"/>
    <xf numFmtId="0" fontId="9" fillId="0" borderId="0" xfId="0" applyFont="1"/>
    <xf numFmtId="0" fontId="12" fillId="0" borderId="0" xfId="0" applyFont="1"/>
    <xf numFmtId="1" fontId="7" fillId="0" borderId="0" xfId="0" applyNumberFormat="1" applyFont="1"/>
    <xf numFmtId="9" fontId="4" fillId="3" borderId="0" xfId="0" applyNumberFormat="1" applyFont="1" applyFill="1" applyBorder="1"/>
    <xf numFmtId="9" fontId="4" fillId="4" borderId="0" xfId="0" applyNumberFormat="1" applyFont="1" applyFill="1" applyBorder="1"/>
    <xf numFmtId="1" fontId="0" fillId="0" borderId="0" xfId="0" applyNumberFormat="1" applyFont="1"/>
    <xf numFmtId="0" fontId="0" fillId="5" borderId="2" xfId="0" applyFont="1" applyFill="1" applyBorder="1"/>
    <xf numFmtId="0" fontId="14" fillId="8" borderId="0" xfId="0" applyFont="1" applyFill="1" applyAlignment="1">
      <alignment horizontal="left" vertical="top" wrapText="1"/>
    </xf>
    <xf numFmtId="0" fontId="14" fillId="8" borderId="0" xfId="0" applyFont="1" applyFill="1" applyAlignment="1">
      <alignment horizontal="right" vertical="top" wrapText="1"/>
    </xf>
    <xf numFmtId="0" fontId="8" fillId="9" borderId="0" xfId="0" applyFont="1" applyFill="1" applyAlignment="1">
      <alignment horizontal="left" vertical="top" wrapText="1"/>
    </xf>
    <xf numFmtId="166" fontId="15" fillId="9" borderId="0" xfId="0" applyNumberFormat="1" applyFont="1" applyFill="1" applyAlignment="1">
      <alignment horizontal="right" vertical="top" wrapText="1"/>
    </xf>
    <xf numFmtId="1" fontId="15" fillId="9" borderId="0" xfId="0" applyNumberFormat="1" applyFont="1" applyFill="1" applyAlignment="1">
      <alignment horizontal="right" vertical="top" wrapText="1"/>
    </xf>
    <xf numFmtId="10" fontId="8" fillId="9" borderId="0" xfId="0" applyNumberFormat="1" applyFont="1" applyFill="1" applyAlignment="1">
      <alignment horizontal="right" vertical="top" wrapText="1"/>
    </xf>
    <xf numFmtId="0" fontId="8" fillId="5" borderId="0" xfId="0" applyFont="1" applyFill="1" applyAlignment="1">
      <alignment horizontal="left" vertical="top" wrapText="1"/>
    </xf>
    <xf numFmtId="10" fontId="8" fillId="5" borderId="0" xfId="0" applyNumberFormat="1" applyFont="1" applyFill="1" applyAlignment="1">
      <alignment horizontal="right" vertical="top" wrapText="1"/>
    </xf>
    <xf numFmtId="0" fontId="13" fillId="0" borderId="0" xfId="0" applyFont="1"/>
    <xf numFmtId="0" fontId="8" fillId="10" borderId="0" xfId="0" applyFont="1" applyFill="1"/>
    <xf numFmtId="0" fontId="7" fillId="10" borderId="0" xfId="0" applyFont="1" applyFill="1"/>
    <xf numFmtId="0" fontId="7" fillId="0" borderId="0" xfId="0" applyFont="1" applyFill="1"/>
    <xf numFmtId="0" fontId="0" fillId="0" borderId="0" xfId="0" applyAlignment="1">
      <alignment vertical="center"/>
    </xf>
    <xf numFmtId="0" fontId="0" fillId="0" borderId="0" xfId="0" applyNumberFormat="1"/>
    <xf numFmtId="0" fontId="17" fillId="0" borderId="0" xfId="0" applyFont="1"/>
    <xf numFmtId="49" fontId="17" fillId="0" borderId="0" xfId="0" applyNumberFormat="1" applyFont="1" applyAlignment="1">
      <alignment vertical="center"/>
    </xf>
    <xf numFmtId="0" fontId="1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/>
    <xf numFmtId="0" fontId="22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Fill="1"/>
    <xf numFmtId="0" fontId="16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0" fillId="0" borderId="0" xfId="0" applyAlignment="1"/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19" fillId="0" borderId="0" xfId="0" applyFont="1" applyAlignment="1"/>
    <xf numFmtId="0" fontId="0" fillId="0" borderId="0" xfId="0" applyAlignment="1"/>
    <xf numFmtId="0" fontId="13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  <xf numFmtId="49" fontId="22" fillId="0" borderId="0" xfId="0" applyNumberFormat="1" applyFont="1" applyAlignment="1">
      <alignment horizontal="center"/>
    </xf>
    <xf numFmtId="0" fontId="0" fillId="0" borderId="0" xfId="0" applyFont="1" applyAlignment="1"/>
    <xf numFmtId="166" fontId="15" fillId="9" borderId="0" xfId="0" applyNumberFormat="1" applyFont="1" applyFill="1" applyAlignment="1">
      <alignment horizontal="center" vertical="top" wrapText="1"/>
    </xf>
    <xf numFmtId="1" fontId="15" fillId="9" borderId="0" xfId="0" applyNumberFormat="1" applyFont="1" applyFill="1" applyAlignment="1">
      <alignment horizontal="center" vertical="top" wrapText="1"/>
    </xf>
    <xf numFmtId="0" fontId="14" fillId="8" borderId="0" xfId="0" applyFont="1" applyFill="1" applyAlignment="1">
      <alignment horizontal="center" vertical="top" wrapText="1"/>
    </xf>
  </cellXfs>
  <cellStyles count="1">
    <cellStyle name="Normal" xfId="0" builtinId="0"/>
  </cellStyles>
  <dxfs count="42">
    <dxf>
      <fill>
        <patternFill patternType="solid">
          <fgColor theme="0"/>
          <bgColor theme="4" tint="0.59996337778862885"/>
        </patternFill>
      </fill>
    </dxf>
    <dxf>
      <fill>
        <patternFill patternType="solid">
          <fgColor theme="0"/>
          <bgColor theme="4" tint="0.59996337778862885"/>
        </patternFill>
      </fill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scheme val="none"/>
      </font>
      <fill>
        <patternFill patternType="solid">
          <fgColor theme="1"/>
          <bgColor theme="4"/>
        </patternFill>
      </fill>
    </dxf>
    <dxf>
      <font>
        <strike val="0"/>
        <outline val="0"/>
        <shadow val="0"/>
        <u val="none"/>
        <vertAlign val="baseline"/>
        <sz val="11"/>
        <name val="Calibri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scheme val="none"/>
      </font>
      <fill>
        <patternFill patternType="solid">
          <fgColor theme="1"/>
          <bgColor theme="4"/>
        </patternFill>
      </fill>
    </dxf>
    <dxf>
      <numFmt numFmtId="0" formatCode="General"/>
    </dxf>
    <dxf>
      <numFmt numFmtId="1" formatCode="0"/>
    </dxf>
    <dxf>
      <numFmt numFmtId="0" formatCode="General"/>
    </dxf>
    <dxf>
      <font>
        <b val="0"/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9CC2E5"/>
          <bgColor rgb="FF9CC2E5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8" tint="0.79998168889431442"/>
          <bgColor theme="8" tint="0.79998168889431442"/>
        </patternFill>
      </fill>
    </dxf>
    <dxf>
      <fill>
        <patternFill>
          <bgColor theme="0"/>
        </patternFill>
      </fill>
    </dxf>
    <dxf>
      <fill>
        <patternFill patternType="solid">
          <fgColor theme="8" tint="0.79998168889431442"/>
          <bgColor theme="8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8"/>
        </top>
      </border>
    </dxf>
    <dxf>
      <font>
        <b/>
        <color theme="0"/>
      </font>
      <fill>
        <patternFill patternType="solid">
          <fgColor theme="8"/>
          <bgColor theme="8"/>
        </patternFill>
      </fill>
    </dxf>
    <dxf>
      <font>
        <color theme="1"/>
      </font>
      <border>
        <left style="thin">
          <color theme="8" tint="0.39997558519241921"/>
        </left>
        <right style="thin">
          <color theme="8" tint="0.39997558519241921"/>
        </right>
        <top style="thin">
          <color theme="8" tint="0.39997558519241921"/>
        </top>
        <bottom style="thin">
          <color theme="8" tint="0.39997558519241921"/>
        </bottom>
        <horizontal style="thin">
          <color theme="8" tint="0.39997558519241921"/>
        </horizontal>
      </border>
    </dxf>
  </dxfs>
  <tableStyles count="2" defaultTableStyle="MainStyle" defaultPivotStyle="PivotStyleLight16">
    <tableStyle name="MainStyle" pivot="0" count="8" xr9:uid="{00000000-0011-0000-FFFF-FFFF00000000}">
      <tableStyleElement type="wholeTable" dxfId="41"/>
      <tableStyleElement type="headerRow" dxfId="40"/>
      <tableStyleElement type="totalRow" dxfId="39"/>
      <tableStyleElement type="firstColumn" dxfId="38"/>
      <tableStyleElement type="lastColumn" dxfId="37"/>
      <tableStyleElement type="firstRowStripe" dxfId="36"/>
      <tableStyleElement type="secondRowStripe" dxfId="35"/>
      <tableStyleElement type="firstColumnStripe" dxfId="34"/>
    </tableStyle>
    <tableStyle name="Sheet1-style" pivot="0" count="3" xr9:uid="{C0C41E32-1A8B-4078-9F25-E442A21E7473}">
      <tableStyleElement type="headerRow" dxfId="33"/>
      <tableStyleElement type="firstRowStripe" size="4" dxfId="32"/>
      <tableStyleElement type="secondRowStripe" size="2" dxfId="3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H47" totalsRowShown="0">
  <autoFilter ref="A1:H47" xr:uid="{00000000-0009-0000-0100-000001000000}"/>
  <sortState xmlns:xlrd2="http://schemas.microsoft.com/office/spreadsheetml/2017/richdata2" ref="A2:H47">
    <sortCondition ref="A2:A47"/>
  </sortState>
  <tableColumns count="8">
    <tableColumn id="1" xr3:uid="{00000000-0010-0000-0000-000001000000}" name="First Name" dataDxfId="30"/>
    <tableColumn id="2" xr3:uid="{00000000-0010-0000-0000-000002000000}" name="Last Name" dataDxfId="29"/>
    <tableColumn id="3" xr3:uid="{00000000-0010-0000-0000-000003000000}" name="Handicap"/>
    <tableColumn id="4" xr3:uid="{00000000-0010-0000-0000-000004000000}" name="Wins"/>
    <tableColumn id="5" xr3:uid="{00000000-0010-0000-0000-000005000000}" name="Losses"/>
    <tableColumn id="6" xr3:uid="{00000000-0010-0000-0000-000006000000}" name="Difference" dataDxfId="28">
      <calculatedColumnFormula>SUM(D2-E2)</calculatedColumnFormula>
    </tableColumn>
    <tableColumn id="7" xr3:uid="{00000000-0010-0000-0000-000007000000}" name="New Handicap" dataDxfId="27">
      <calculatedColumnFormula>SUM(C2-(F2*5))</calculatedColumnFormula>
    </tableColumn>
    <tableColumn id="8" xr3:uid="{9521D9C9-13E8-4DC5-AC2D-3E8F9AB41CF3}" name="Column1" dataDxfId="26">
      <calculatedColumnFormula>A2&amp;" "&amp;B2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24D2B07-DDC3-4B86-A68C-6E7582E52AAB}" name="Table_1" displayName="Table_1" ref="A4:I10" headerRowDxfId="25" dataDxfId="24" totalsRowDxfId="23">
  <autoFilter ref="A4:I10" xr:uid="{0FED096A-3CDF-460B-9AFD-75A9FBBDEA7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sortState xmlns:xlrd2="http://schemas.microsoft.com/office/spreadsheetml/2017/richdata2" ref="A5:I10">
    <sortCondition descending="1" ref="F5:F10"/>
    <sortCondition descending="1" ref="G5:G10"/>
  </sortState>
  <tableColumns count="9">
    <tableColumn id="1" xr3:uid="{EBB7AB9B-6C68-42FC-999A-AD02A02DDCA1}" name="Team" dataDxfId="10"/>
    <tableColumn id="2" xr3:uid="{BF06E301-15A1-4912-A527-DDDE9317E809}" name="Matches Won  " dataDxfId="9"/>
    <tableColumn id="3" xr3:uid="{7C585DB8-CB1C-435E-B7C6-777FFCBB6B88}" name="Matches Lost" dataDxfId="8"/>
    <tableColumn id="4" xr3:uid="{C509380B-9ACB-43BF-91D7-376881CAF581}" name="Games Won" dataDxfId="7"/>
    <tableColumn id="5" xr3:uid="{3243932F-B05A-4FCD-A24E-B5FF8BB3D1F4}" name="Games Lost" dataDxfId="6"/>
    <tableColumn id="6" xr3:uid="{0F214CE4-67DB-4306-9D8D-C53C9B0ACDF9}" name="Prem.Points" dataDxfId="5">
      <calculatedColumnFormula>SUM(B5*2+D5*2)</calculatedColumnFormula>
    </tableColumn>
    <tableColumn id="7" xr3:uid="{A1D64924-0586-450F-A622-6977B835E8BF}" name="Points For" dataDxfId="4"/>
    <tableColumn id="8" xr3:uid="{9BD2FE17-BF46-45FF-A75D-153F5E31A317}" name="Points Against" dataDxfId="2"/>
    <tableColumn id="9" xr3:uid="{924CB349-9CA4-4F42-9E11-2A7D34D6EA11}" name="Pts %" dataDxfId="3">
      <calculatedColumnFormula>G5/H5</calculatedColumnFormula>
    </tableColumn>
  </tableColumns>
  <tableStyleInfo name="MainStyle" showFirstColumn="1" showLastColumn="1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B371EB9-05B6-42F2-9C99-A8521E5417C7}" name="Table_13" displayName="Table_13" ref="A3:I9" headerRowDxfId="22" dataDxfId="21" totalsRowDxfId="20">
  <autoFilter ref="A3:I9" xr:uid="{0FED096A-3CDF-460B-9AFD-75A9FBBDEA7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sortState xmlns:xlrd2="http://schemas.microsoft.com/office/spreadsheetml/2017/richdata2" ref="A4:I9">
    <sortCondition descending="1" ref="F4:F9"/>
    <sortCondition descending="1" ref="I4:I9"/>
  </sortState>
  <tableColumns count="9">
    <tableColumn id="1" xr3:uid="{A9254645-5733-48C8-9FC8-0AE2AB2C7F79}" name="Team" dataDxfId="19"/>
    <tableColumn id="2" xr3:uid="{A0E5E447-D28B-44E4-AE78-A0F793AF6CE5}" name="Matches Won  " dataDxfId="18"/>
    <tableColumn id="3" xr3:uid="{1459222C-BE15-4EC6-98AE-473CD5374421}" name="Matches Lost" dataDxfId="17"/>
    <tableColumn id="4" xr3:uid="{C70F0622-D686-43D4-95EF-F7328B865687}" name="Games Won" dataDxfId="16"/>
    <tableColumn id="5" xr3:uid="{636F3588-A62D-4359-816A-C457489162F5}" name="Games Lost" dataDxfId="15"/>
    <tableColumn id="6" xr3:uid="{DE2823A9-CD37-4A92-84F7-FF7F5666D184}" name="Prem.Points" dataDxfId="14">
      <calculatedColumnFormula>SUM(B4*2+D4*2)</calculatedColumnFormula>
    </tableColumn>
    <tableColumn id="7" xr3:uid="{0D6741B9-C240-4001-BD13-E939FFC19C9D}" name="Points For" dataDxfId="13"/>
    <tableColumn id="8" xr3:uid="{20318105-0CA5-4F00-A7F3-DB9AD5397C74}" name="Points Against" dataDxfId="12"/>
    <tableColumn id="9" xr3:uid="{7E1820E9-3AB3-4D4D-8622-BB15E1874A69}" name="Pts %" dataDxfId="11">
      <calculatedColumnFormula>G4/H4</calculatedColumnFormula>
    </tableColumn>
  </tableColumns>
  <tableStyleInfo name="MainStyle" showFirstColumn="1" showLastColumn="1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7"/>
  <sheetViews>
    <sheetView topLeftCell="A6" zoomScale="60" zoomScaleNormal="60" workbookViewId="0">
      <selection activeCell="H52" sqref="H52"/>
    </sheetView>
  </sheetViews>
  <sheetFormatPr defaultRowHeight="15" x14ac:dyDescent="0.25"/>
  <cols>
    <col min="1" max="2" width="25.7109375" customWidth="1"/>
    <col min="3" max="3" width="13" customWidth="1"/>
    <col min="4" max="7" width="25.7109375" customWidth="1"/>
    <col min="8" max="8" width="23.140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9</v>
      </c>
      <c r="E1" t="s">
        <v>10</v>
      </c>
      <c r="F1" t="s">
        <v>12</v>
      </c>
      <c r="G1" t="s">
        <v>11</v>
      </c>
      <c r="H1" t="s">
        <v>165</v>
      </c>
    </row>
    <row r="2" spans="1:8" ht="15.75" x14ac:dyDescent="0.25">
      <c r="A2" s="64" t="s">
        <v>4</v>
      </c>
      <c r="B2" s="64" t="s">
        <v>5</v>
      </c>
      <c r="C2">
        <v>45</v>
      </c>
      <c r="F2" s="63">
        <f t="shared" ref="F2:F4" si="0">SUM(D2-E2)</f>
        <v>0</v>
      </c>
      <c r="G2" s="1">
        <f t="shared" ref="G2:G4" si="1">SUM(C2-(F2*5))</f>
        <v>45</v>
      </c>
      <c r="H2" t="str">
        <f t="shared" ref="H2:H47" si="2">A2&amp;" "&amp;B2</f>
        <v>Andrew Spalding</v>
      </c>
    </row>
    <row r="3" spans="1:8" ht="15.75" x14ac:dyDescent="0.25">
      <c r="A3" s="64" t="s">
        <v>79</v>
      </c>
      <c r="B3" s="64" t="s">
        <v>80</v>
      </c>
      <c r="C3">
        <v>-25</v>
      </c>
      <c r="F3" s="63">
        <f t="shared" si="0"/>
        <v>0</v>
      </c>
      <c r="G3" s="1">
        <f t="shared" si="1"/>
        <v>-25</v>
      </c>
      <c r="H3" t="str">
        <f t="shared" si="2"/>
        <v>Ben Cahill</v>
      </c>
    </row>
    <row r="4" spans="1:8" ht="15.75" x14ac:dyDescent="0.25">
      <c r="A4" s="64" t="s">
        <v>131</v>
      </c>
      <c r="B4" s="64" t="s">
        <v>132</v>
      </c>
      <c r="C4">
        <v>-15</v>
      </c>
      <c r="F4" s="63">
        <f t="shared" si="0"/>
        <v>0</v>
      </c>
      <c r="G4" s="1">
        <f t="shared" si="1"/>
        <v>-15</v>
      </c>
      <c r="H4" t="str">
        <f t="shared" si="2"/>
        <v>Corey Lee</v>
      </c>
    </row>
    <row r="5" spans="1:8" ht="15.75" x14ac:dyDescent="0.25">
      <c r="A5" s="65" t="s">
        <v>151</v>
      </c>
      <c r="B5" s="64" t="s">
        <v>152</v>
      </c>
      <c r="C5">
        <v>-160</v>
      </c>
      <c r="F5" s="63">
        <f>SUM(D5-E5)</f>
        <v>0</v>
      </c>
      <c r="G5" s="1">
        <f>SUM(C5-(F5*5))</f>
        <v>-160</v>
      </c>
      <c r="H5" t="str">
        <f t="shared" si="2"/>
        <v>Craig Bennett</v>
      </c>
    </row>
    <row r="6" spans="1:8" ht="15.75" x14ac:dyDescent="0.25">
      <c r="A6" s="64" t="s">
        <v>34</v>
      </c>
      <c r="B6" s="64" t="s">
        <v>35</v>
      </c>
      <c r="C6">
        <v>-5</v>
      </c>
      <c r="F6" s="63">
        <f t="shared" ref="F6:F47" si="3">SUM(D6-E6)</f>
        <v>0</v>
      </c>
      <c r="G6" s="1">
        <f t="shared" ref="G6:G47" si="4">SUM(C6-(F6*5))</f>
        <v>-5</v>
      </c>
      <c r="H6" t="str">
        <f t="shared" si="2"/>
        <v>Dale Bridges</v>
      </c>
    </row>
    <row r="7" spans="1:8" ht="15.75" x14ac:dyDescent="0.25">
      <c r="A7" s="64" t="s">
        <v>13</v>
      </c>
      <c r="B7" s="64" t="s">
        <v>14</v>
      </c>
      <c r="C7">
        <v>-110</v>
      </c>
      <c r="F7" s="63">
        <f t="shared" si="3"/>
        <v>0</v>
      </c>
      <c r="G7" s="1">
        <f t="shared" si="4"/>
        <v>-110</v>
      </c>
      <c r="H7" t="str">
        <f t="shared" si="2"/>
        <v>David  Palmer</v>
      </c>
    </row>
    <row r="8" spans="1:8" ht="15.75" x14ac:dyDescent="0.25">
      <c r="A8" s="64" t="s">
        <v>163</v>
      </c>
      <c r="B8" s="64" t="s">
        <v>164</v>
      </c>
      <c r="C8">
        <v>-150</v>
      </c>
      <c r="F8" s="63">
        <f t="shared" si="3"/>
        <v>0</v>
      </c>
      <c r="G8" s="1">
        <f t="shared" si="4"/>
        <v>-150</v>
      </c>
      <c r="H8" t="str">
        <f t="shared" si="2"/>
        <v>Eric Wolsley</v>
      </c>
    </row>
    <row r="9" spans="1:8" ht="15.75" x14ac:dyDescent="0.25">
      <c r="A9" s="64" t="s">
        <v>15</v>
      </c>
      <c r="B9" s="64" t="s">
        <v>16</v>
      </c>
      <c r="C9">
        <v>5</v>
      </c>
      <c r="F9" s="63">
        <f t="shared" si="3"/>
        <v>0</v>
      </c>
      <c r="G9" s="1">
        <f t="shared" si="4"/>
        <v>5</v>
      </c>
      <c r="H9" t="str">
        <f t="shared" si="2"/>
        <v>Gavin Wilson</v>
      </c>
    </row>
    <row r="10" spans="1:8" ht="15.75" x14ac:dyDescent="0.25">
      <c r="A10" s="64" t="s">
        <v>120</v>
      </c>
      <c r="B10" s="64" t="s">
        <v>40</v>
      </c>
      <c r="C10">
        <v>25</v>
      </c>
      <c r="F10" s="63">
        <f t="shared" si="3"/>
        <v>0</v>
      </c>
      <c r="G10" s="1">
        <f t="shared" si="4"/>
        <v>25</v>
      </c>
      <c r="H10" t="str">
        <f t="shared" si="2"/>
        <v>Geoff Challis</v>
      </c>
    </row>
    <row r="11" spans="1:8" ht="15.75" x14ac:dyDescent="0.25">
      <c r="A11" s="64" t="s">
        <v>120</v>
      </c>
      <c r="B11" s="64" t="s">
        <v>24</v>
      </c>
      <c r="C11">
        <v>25</v>
      </c>
      <c r="F11" s="63">
        <f t="shared" si="3"/>
        <v>0</v>
      </c>
      <c r="G11" s="1">
        <f t="shared" si="4"/>
        <v>25</v>
      </c>
      <c r="H11" t="str">
        <f t="shared" si="2"/>
        <v>Geoff Lockyer</v>
      </c>
    </row>
    <row r="12" spans="1:8" ht="15.75" x14ac:dyDescent="0.25">
      <c r="A12" s="64" t="s">
        <v>117</v>
      </c>
      <c r="B12" s="64" t="s">
        <v>118</v>
      </c>
      <c r="C12">
        <v>65</v>
      </c>
      <c r="F12" s="63">
        <f t="shared" si="3"/>
        <v>0</v>
      </c>
      <c r="G12" s="1">
        <f t="shared" si="4"/>
        <v>65</v>
      </c>
      <c r="H12" t="str">
        <f t="shared" si="2"/>
        <v>Gordon  Males</v>
      </c>
    </row>
    <row r="13" spans="1:8" ht="15.75" x14ac:dyDescent="0.25">
      <c r="A13" s="64" t="s">
        <v>108</v>
      </c>
      <c r="B13" s="64" t="s">
        <v>3</v>
      </c>
      <c r="C13">
        <v>-10</v>
      </c>
      <c r="F13" s="63">
        <f t="shared" si="3"/>
        <v>0</v>
      </c>
      <c r="G13" s="1">
        <f t="shared" si="4"/>
        <v>-10</v>
      </c>
      <c r="H13" t="str">
        <f t="shared" si="2"/>
        <v>Graeme Musgrove</v>
      </c>
    </row>
    <row r="14" spans="1:8" ht="15.75" x14ac:dyDescent="0.25">
      <c r="A14" s="64" t="s">
        <v>108</v>
      </c>
      <c r="B14" s="64" t="s">
        <v>109</v>
      </c>
      <c r="C14">
        <v>-205</v>
      </c>
      <c r="F14" s="63">
        <f t="shared" si="3"/>
        <v>0</v>
      </c>
      <c r="G14" s="1">
        <f t="shared" si="4"/>
        <v>-205</v>
      </c>
      <c r="H14" t="str">
        <f t="shared" si="2"/>
        <v>Graeme Wright</v>
      </c>
    </row>
    <row r="15" spans="1:8" ht="15.75" x14ac:dyDescent="0.25">
      <c r="A15" s="64" t="s">
        <v>106</v>
      </c>
      <c r="B15" s="64" t="s">
        <v>107</v>
      </c>
      <c r="C15">
        <v>-55</v>
      </c>
      <c r="F15" s="63">
        <f t="shared" si="3"/>
        <v>0</v>
      </c>
      <c r="G15" s="1">
        <f t="shared" si="4"/>
        <v>-55</v>
      </c>
      <c r="H15" t="str">
        <f t="shared" si="2"/>
        <v>Greg  Allison</v>
      </c>
    </row>
    <row r="16" spans="1:8" ht="15.75" x14ac:dyDescent="0.25">
      <c r="A16" s="64" t="s">
        <v>126</v>
      </c>
      <c r="B16" s="64" t="s">
        <v>127</v>
      </c>
      <c r="C16">
        <v>20</v>
      </c>
      <c r="F16" s="63">
        <f t="shared" si="3"/>
        <v>0</v>
      </c>
      <c r="G16" s="1">
        <f t="shared" si="4"/>
        <v>20</v>
      </c>
      <c r="H16" t="str">
        <f t="shared" si="2"/>
        <v>Ian Benton</v>
      </c>
    </row>
    <row r="17" spans="1:8" ht="15.75" x14ac:dyDescent="0.25">
      <c r="A17" s="64" t="s">
        <v>126</v>
      </c>
      <c r="B17" s="64" t="s">
        <v>130</v>
      </c>
      <c r="C17">
        <v>-50</v>
      </c>
      <c r="F17" s="63">
        <f t="shared" si="3"/>
        <v>0</v>
      </c>
      <c r="G17" s="1">
        <f t="shared" si="4"/>
        <v>-50</v>
      </c>
      <c r="H17" t="str">
        <f t="shared" si="2"/>
        <v>Ian Boyle</v>
      </c>
    </row>
    <row r="18" spans="1:8" ht="15.75" x14ac:dyDescent="0.25">
      <c r="A18" s="64" t="s">
        <v>41</v>
      </c>
      <c r="B18" s="64" t="s">
        <v>42</v>
      </c>
      <c r="C18">
        <v>-155</v>
      </c>
      <c r="F18" s="63">
        <f t="shared" si="3"/>
        <v>0</v>
      </c>
      <c r="G18" s="1">
        <f t="shared" si="4"/>
        <v>-155</v>
      </c>
      <c r="H18" t="str">
        <f t="shared" si="2"/>
        <v>Ivan Crowley</v>
      </c>
    </row>
    <row r="19" spans="1:8" ht="15.75" x14ac:dyDescent="0.25">
      <c r="A19" s="64" t="s">
        <v>110</v>
      </c>
      <c r="B19" s="64" t="s">
        <v>20</v>
      </c>
      <c r="C19">
        <v>-70</v>
      </c>
      <c r="F19" s="63">
        <f t="shared" si="3"/>
        <v>0</v>
      </c>
      <c r="G19" s="1">
        <f t="shared" si="4"/>
        <v>-70</v>
      </c>
      <c r="H19" t="str">
        <f t="shared" si="2"/>
        <v>Jason  Crocker</v>
      </c>
    </row>
    <row r="20" spans="1:8" ht="15.75" x14ac:dyDescent="0.25">
      <c r="A20" s="64" t="s">
        <v>110</v>
      </c>
      <c r="B20" s="64" t="s">
        <v>38</v>
      </c>
      <c r="C20">
        <v>-20</v>
      </c>
      <c r="F20" s="63">
        <f t="shared" si="3"/>
        <v>0</v>
      </c>
      <c r="G20" s="1">
        <f t="shared" si="4"/>
        <v>-20</v>
      </c>
      <c r="H20" t="str">
        <f t="shared" si="2"/>
        <v>Jason  Smiley</v>
      </c>
    </row>
    <row r="21" spans="1:8" ht="15.75" x14ac:dyDescent="0.25">
      <c r="A21" s="64" t="s">
        <v>125</v>
      </c>
      <c r="B21" s="64" t="s">
        <v>39</v>
      </c>
      <c r="C21">
        <v>-110</v>
      </c>
      <c r="F21" s="63">
        <f t="shared" si="3"/>
        <v>0</v>
      </c>
      <c r="G21" s="1">
        <f t="shared" si="4"/>
        <v>-110</v>
      </c>
      <c r="H21" t="str">
        <f t="shared" si="2"/>
        <v>Jayson McLean</v>
      </c>
    </row>
    <row r="22" spans="1:8" ht="15.75" x14ac:dyDescent="0.25">
      <c r="A22" s="64" t="s">
        <v>21</v>
      </c>
      <c r="B22" s="64" t="s">
        <v>26</v>
      </c>
      <c r="C22">
        <v>-165</v>
      </c>
      <c r="F22" s="63">
        <f t="shared" si="3"/>
        <v>0</v>
      </c>
      <c r="G22" s="1">
        <f t="shared" si="4"/>
        <v>-165</v>
      </c>
      <c r="H22" t="str">
        <f t="shared" si="2"/>
        <v>John Eltringham</v>
      </c>
    </row>
    <row r="23" spans="1:8" ht="15.75" x14ac:dyDescent="0.25">
      <c r="A23" s="64" t="s">
        <v>21</v>
      </c>
      <c r="B23" s="64" t="s">
        <v>23</v>
      </c>
      <c r="C23">
        <v>-40</v>
      </c>
      <c r="F23" s="63">
        <f t="shared" si="3"/>
        <v>0</v>
      </c>
      <c r="G23" s="1">
        <f t="shared" si="4"/>
        <v>-40</v>
      </c>
      <c r="H23" t="str">
        <f t="shared" si="2"/>
        <v>John Grubb</v>
      </c>
    </row>
    <row r="24" spans="1:8" ht="15.75" x14ac:dyDescent="0.25">
      <c r="A24" s="64" t="s">
        <v>21</v>
      </c>
      <c r="B24" s="64" t="s">
        <v>22</v>
      </c>
      <c r="C24">
        <v>-80</v>
      </c>
      <c r="F24" s="63">
        <f t="shared" si="3"/>
        <v>0</v>
      </c>
      <c r="G24" s="1">
        <f t="shared" si="4"/>
        <v>-80</v>
      </c>
      <c r="H24" t="str">
        <f t="shared" si="2"/>
        <v>John Lewis</v>
      </c>
    </row>
    <row r="25" spans="1:8" ht="15.75" x14ac:dyDescent="0.25">
      <c r="A25" s="65" t="s">
        <v>154</v>
      </c>
      <c r="B25" s="64" t="s">
        <v>155</v>
      </c>
      <c r="C25">
        <v>-130</v>
      </c>
      <c r="F25" s="63">
        <f t="shared" si="3"/>
        <v>0</v>
      </c>
      <c r="G25" s="1">
        <f t="shared" si="4"/>
        <v>-130</v>
      </c>
      <c r="H25" t="str">
        <f t="shared" si="2"/>
        <v>Las Ifca</v>
      </c>
    </row>
    <row r="26" spans="1:8" ht="15.75" x14ac:dyDescent="0.25">
      <c r="A26" s="64" t="s">
        <v>128</v>
      </c>
      <c r="B26" s="64" t="s">
        <v>129</v>
      </c>
      <c r="C26">
        <v>-165</v>
      </c>
      <c r="F26" s="63">
        <f t="shared" si="3"/>
        <v>0</v>
      </c>
      <c r="G26" s="1">
        <f t="shared" si="4"/>
        <v>-165</v>
      </c>
      <c r="H26" t="str">
        <f t="shared" si="2"/>
        <v>Mac Rynkiewicz</v>
      </c>
    </row>
    <row r="27" spans="1:8" ht="15.75" x14ac:dyDescent="0.25">
      <c r="A27" s="64" t="s">
        <v>133</v>
      </c>
      <c r="B27" s="64" t="s">
        <v>134</v>
      </c>
      <c r="C27">
        <v>-35</v>
      </c>
      <c r="F27" s="63">
        <f t="shared" si="3"/>
        <v>0</v>
      </c>
      <c r="G27" s="1">
        <f t="shared" si="4"/>
        <v>-35</v>
      </c>
      <c r="H27" t="str">
        <f t="shared" si="2"/>
        <v>Matthew White</v>
      </c>
    </row>
    <row r="28" spans="1:8" ht="15.75" x14ac:dyDescent="0.25">
      <c r="A28" s="64" t="s">
        <v>17</v>
      </c>
      <c r="B28" s="64" t="s">
        <v>18</v>
      </c>
      <c r="C28">
        <v>-100</v>
      </c>
      <c r="F28" s="63">
        <f t="shared" si="3"/>
        <v>0</v>
      </c>
      <c r="G28" s="1">
        <f t="shared" si="4"/>
        <v>-100</v>
      </c>
      <c r="H28" t="str">
        <f t="shared" si="2"/>
        <v>Mick Williams</v>
      </c>
    </row>
    <row r="29" spans="1:8" ht="15.75" x14ac:dyDescent="0.25">
      <c r="A29" s="65" t="s">
        <v>156</v>
      </c>
      <c r="B29" s="64" t="s">
        <v>157</v>
      </c>
      <c r="C29">
        <v>-80</v>
      </c>
      <c r="F29" s="63">
        <f t="shared" si="3"/>
        <v>0</v>
      </c>
      <c r="G29" s="1">
        <f t="shared" si="4"/>
        <v>-80</v>
      </c>
      <c r="H29" t="str">
        <f t="shared" si="2"/>
        <v>Mitch Calnin</v>
      </c>
    </row>
    <row r="30" spans="1:8" ht="15.75" x14ac:dyDescent="0.25">
      <c r="A30" s="64" t="s">
        <v>7</v>
      </c>
      <c r="B30" s="64" t="s">
        <v>8</v>
      </c>
      <c r="C30">
        <v>-35</v>
      </c>
      <c r="F30" s="63">
        <f t="shared" si="3"/>
        <v>0</v>
      </c>
      <c r="G30" s="1">
        <f t="shared" si="4"/>
        <v>-35</v>
      </c>
      <c r="H30" t="str">
        <f t="shared" si="2"/>
        <v>Neville Harty</v>
      </c>
    </row>
    <row r="31" spans="1:8" ht="15.75" x14ac:dyDescent="0.25">
      <c r="A31" s="64" t="s">
        <v>27</v>
      </c>
      <c r="B31" s="64" t="s">
        <v>28</v>
      </c>
      <c r="C31">
        <v>25</v>
      </c>
      <c r="F31" s="63">
        <f t="shared" si="3"/>
        <v>0</v>
      </c>
      <c r="G31" s="1">
        <f t="shared" si="4"/>
        <v>25</v>
      </c>
      <c r="H31" t="str">
        <f t="shared" si="2"/>
        <v>Peter Oates</v>
      </c>
    </row>
    <row r="32" spans="1:8" ht="15.75" x14ac:dyDescent="0.25">
      <c r="A32" s="64" t="s">
        <v>115</v>
      </c>
      <c r="B32" s="64" t="s">
        <v>116</v>
      </c>
      <c r="C32">
        <v>50</v>
      </c>
      <c r="F32" s="63">
        <f t="shared" si="3"/>
        <v>0</v>
      </c>
      <c r="G32" s="1">
        <f t="shared" si="4"/>
        <v>50</v>
      </c>
      <c r="H32" t="str">
        <f t="shared" si="2"/>
        <v>Phil Paige</v>
      </c>
    </row>
    <row r="33" spans="1:8" ht="15.75" x14ac:dyDescent="0.25">
      <c r="A33" s="64" t="s">
        <v>81</v>
      </c>
      <c r="B33" s="64" t="s">
        <v>121</v>
      </c>
      <c r="C33">
        <v>40</v>
      </c>
      <c r="F33" s="63">
        <f t="shared" si="3"/>
        <v>0</v>
      </c>
      <c r="G33" s="1">
        <f t="shared" si="4"/>
        <v>40</v>
      </c>
      <c r="H33" t="str">
        <f t="shared" si="2"/>
        <v>Ray Letcher</v>
      </c>
    </row>
    <row r="34" spans="1:8" ht="15.75" x14ac:dyDescent="0.25">
      <c r="A34" s="64" t="s">
        <v>81</v>
      </c>
      <c r="B34" s="64" t="s">
        <v>16</v>
      </c>
      <c r="C34">
        <v>105</v>
      </c>
      <c r="F34" s="63">
        <f t="shared" si="3"/>
        <v>0</v>
      </c>
      <c r="G34" s="1">
        <f t="shared" si="4"/>
        <v>105</v>
      </c>
      <c r="H34" t="str">
        <f t="shared" si="2"/>
        <v>Ray Wilson</v>
      </c>
    </row>
    <row r="35" spans="1:8" ht="15.75" x14ac:dyDescent="0.25">
      <c r="A35" s="65" t="s">
        <v>158</v>
      </c>
      <c r="B35" s="64" t="s">
        <v>159</v>
      </c>
      <c r="C35">
        <v>-80</v>
      </c>
      <c r="F35" s="63">
        <f t="shared" si="3"/>
        <v>0</v>
      </c>
      <c r="G35" s="1">
        <f t="shared" si="4"/>
        <v>-80</v>
      </c>
      <c r="H35" t="str">
        <f t="shared" si="2"/>
        <v>Rob Young</v>
      </c>
    </row>
    <row r="36" spans="1:8" ht="15.75" x14ac:dyDescent="0.25">
      <c r="A36" s="65" t="s">
        <v>153</v>
      </c>
      <c r="B36" s="64" t="s">
        <v>161</v>
      </c>
      <c r="C36">
        <v>-110</v>
      </c>
      <c r="F36" s="63">
        <f t="shared" si="3"/>
        <v>0</v>
      </c>
      <c r="G36" s="1">
        <f t="shared" si="4"/>
        <v>-110</v>
      </c>
      <c r="H36" t="str">
        <f t="shared" si="2"/>
        <v>Rod Mc Callum</v>
      </c>
    </row>
    <row r="37" spans="1:8" ht="14.25" customHeight="1" x14ac:dyDescent="0.25">
      <c r="A37" s="65" t="s">
        <v>153</v>
      </c>
      <c r="B37" s="64" t="s">
        <v>160</v>
      </c>
      <c r="C37">
        <v>-70</v>
      </c>
      <c r="F37" s="63">
        <f t="shared" si="3"/>
        <v>0</v>
      </c>
      <c r="G37" s="1">
        <f t="shared" si="4"/>
        <v>-70</v>
      </c>
      <c r="H37" t="str">
        <f t="shared" si="2"/>
        <v>Rod Vincent</v>
      </c>
    </row>
    <row r="38" spans="1:8" ht="14.25" customHeight="1" x14ac:dyDescent="0.25">
      <c r="A38" s="64" t="s">
        <v>123</v>
      </c>
      <c r="B38" s="64" t="s">
        <v>124</v>
      </c>
      <c r="C38">
        <v>35</v>
      </c>
      <c r="F38" s="63">
        <f t="shared" si="3"/>
        <v>0</v>
      </c>
      <c r="G38" s="1">
        <f t="shared" si="4"/>
        <v>35</v>
      </c>
      <c r="H38" t="str">
        <f t="shared" si="2"/>
        <v>Roger Jones</v>
      </c>
    </row>
    <row r="39" spans="1:8" ht="15.75" x14ac:dyDescent="0.25">
      <c r="A39" s="64" t="s">
        <v>122</v>
      </c>
      <c r="B39" s="64" t="s">
        <v>6</v>
      </c>
      <c r="C39">
        <v>-70</v>
      </c>
      <c r="F39" s="63">
        <f t="shared" si="3"/>
        <v>0</v>
      </c>
      <c r="G39" s="1">
        <f t="shared" si="4"/>
        <v>-70</v>
      </c>
      <c r="H39" t="str">
        <f t="shared" si="2"/>
        <v>Rohan Liston</v>
      </c>
    </row>
    <row r="40" spans="1:8" ht="15.75" x14ac:dyDescent="0.25">
      <c r="A40" s="64" t="s">
        <v>36</v>
      </c>
      <c r="B40" s="64" t="s">
        <v>37</v>
      </c>
      <c r="C40">
        <v>-20</v>
      </c>
      <c r="F40" s="63">
        <f t="shared" ref="F40" si="5">SUM(D40-E40)</f>
        <v>0</v>
      </c>
      <c r="G40" s="1">
        <f t="shared" ref="G40" si="6">SUM(C40-(F40*5))</f>
        <v>-20</v>
      </c>
      <c r="H40" t="str">
        <f t="shared" si="2"/>
        <v>Ron Callender</v>
      </c>
    </row>
    <row r="41" spans="1:8" ht="15.75" x14ac:dyDescent="0.25">
      <c r="A41" s="64" t="s">
        <v>32</v>
      </c>
      <c r="B41" s="64" t="s">
        <v>33</v>
      </c>
      <c r="C41">
        <v>50</v>
      </c>
      <c r="F41" s="63">
        <f>SUM(D40-E41)</f>
        <v>0</v>
      </c>
      <c r="G41" s="1">
        <f t="shared" si="4"/>
        <v>50</v>
      </c>
      <c r="H41" t="str">
        <f t="shared" si="2"/>
        <v>Ross  Boag</v>
      </c>
    </row>
    <row r="42" spans="1:8" ht="15.75" x14ac:dyDescent="0.25">
      <c r="A42" s="64" t="s">
        <v>119</v>
      </c>
      <c r="B42" s="64" t="s">
        <v>25</v>
      </c>
      <c r="C42">
        <v>85</v>
      </c>
      <c r="F42" s="63">
        <f>SUM(D41-E42)</f>
        <v>0</v>
      </c>
      <c r="G42" s="1">
        <f t="shared" si="4"/>
        <v>85</v>
      </c>
      <c r="H42" t="str">
        <f t="shared" si="2"/>
        <v>Selwyn Lahey</v>
      </c>
    </row>
    <row r="43" spans="1:8" ht="15.75" x14ac:dyDescent="0.25">
      <c r="A43" s="64" t="s">
        <v>30</v>
      </c>
      <c r="B43" s="64" t="s">
        <v>31</v>
      </c>
      <c r="C43">
        <v>45</v>
      </c>
      <c r="F43" s="63">
        <f t="shared" si="3"/>
        <v>0</v>
      </c>
      <c r="G43" s="1">
        <f t="shared" si="4"/>
        <v>45</v>
      </c>
      <c r="H43" t="str">
        <f t="shared" si="2"/>
        <v>Shaune Hardy</v>
      </c>
    </row>
    <row r="44" spans="1:8" ht="15.75" x14ac:dyDescent="0.25">
      <c r="A44" s="65" t="s">
        <v>149</v>
      </c>
      <c r="B44" s="64" t="s">
        <v>150</v>
      </c>
      <c r="C44">
        <v>-180</v>
      </c>
      <c r="F44" s="63">
        <f t="shared" si="3"/>
        <v>0</v>
      </c>
      <c r="G44" s="1">
        <f t="shared" si="4"/>
        <v>-180</v>
      </c>
      <c r="H44" t="str">
        <f t="shared" si="2"/>
        <v>Steve Bagshaw</v>
      </c>
    </row>
    <row r="45" spans="1:8" ht="15.75" x14ac:dyDescent="0.25">
      <c r="A45" s="64" t="s">
        <v>111</v>
      </c>
      <c r="B45" s="64" t="s">
        <v>29</v>
      </c>
      <c r="C45">
        <v>-5</v>
      </c>
      <c r="F45" s="63">
        <f t="shared" si="3"/>
        <v>0</v>
      </c>
      <c r="G45" s="1">
        <f t="shared" si="4"/>
        <v>-5</v>
      </c>
      <c r="H45" t="str">
        <f t="shared" si="2"/>
        <v>Stuart  Page</v>
      </c>
    </row>
    <row r="46" spans="1:8" ht="15.75" x14ac:dyDescent="0.25">
      <c r="A46" s="64" t="s">
        <v>112</v>
      </c>
      <c r="B46" s="64" t="s">
        <v>113</v>
      </c>
      <c r="C46">
        <v>55</v>
      </c>
      <c r="F46" s="63">
        <f t="shared" si="3"/>
        <v>0</v>
      </c>
      <c r="G46" s="1">
        <f t="shared" si="4"/>
        <v>55</v>
      </c>
      <c r="H46" t="str">
        <f t="shared" si="2"/>
        <v>Trevor  Moore</v>
      </c>
    </row>
    <row r="47" spans="1:8" ht="15.75" x14ac:dyDescent="0.25">
      <c r="A47" s="64" t="s">
        <v>114</v>
      </c>
      <c r="B47" s="64" t="s">
        <v>19</v>
      </c>
      <c r="C47">
        <v>-150</v>
      </c>
      <c r="F47" s="63">
        <f t="shared" si="3"/>
        <v>0</v>
      </c>
      <c r="G47" s="1">
        <f t="shared" si="4"/>
        <v>-150</v>
      </c>
      <c r="H47" t="str">
        <f t="shared" si="2"/>
        <v>Wayne  Clack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83F73-576E-4770-8CB7-7D363928D11D}">
  <dimension ref="A1:K66"/>
  <sheetViews>
    <sheetView topLeftCell="A3" workbookViewId="0">
      <selection activeCell="H15" sqref="H15"/>
    </sheetView>
  </sheetViews>
  <sheetFormatPr defaultRowHeight="15" x14ac:dyDescent="0.25"/>
  <cols>
    <col min="1" max="1" width="16.28515625" customWidth="1"/>
    <col min="2" max="2" width="5.85546875" customWidth="1"/>
    <col min="3" max="3" width="7.7109375" customWidth="1"/>
    <col min="4" max="4" width="16.85546875" customWidth="1"/>
    <col min="5" max="5" width="6.5703125" customWidth="1"/>
    <col min="6" max="6" width="7.28515625" customWidth="1"/>
    <col min="7" max="7" width="16.42578125" customWidth="1"/>
    <col min="8" max="8" width="6.140625" customWidth="1"/>
    <col min="9" max="9" width="7.28515625" customWidth="1"/>
    <col min="10" max="10" width="16.5703125" customWidth="1"/>
    <col min="11" max="11" width="5.7109375" customWidth="1"/>
  </cols>
  <sheetData>
    <row r="1" spans="1:11" ht="15.75" x14ac:dyDescent="0.25">
      <c r="A1" s="80" t="s">
        <v>183</v>
      </c>
      <c r="B1" s="80"/>
      <c r="C1" s="80"/>
      <c r="D1" s="80"/>
      <c r="E1" s="80"/>
      <c r="F1" s="80"/>
      <c r="G1" s="80"/>
    </row>
    <row r="3" spans="1:11" x14ac:dyDescent="0.25">
      <c r="A3" s="36" t="s">
        <v>148</v>
      </c>
      <c r="B3" s="45"/>
      <c r="C3" s="31"/>
      <c r="D3" s="36" t="s">
        <v>45</v>
      </c>
      <c r="E3" s="45"/>
      <c r="F3" s="31"/>
      <c r="G3" s="36" t="s">
        <v>145</v>
      </c>
      <c r="H3" s="37"/>
      <c r="J3" s="36" t="s">
        <v>182</v>
      </c>
    </row>
    <row r="4" spans="1:11" x14ac:dyDescent="0.25">
      <c r="A4" s="37"/>
      <c r="B4" s="45"/>
      <c r="C4" s="31"/>
      <c r="D4" s="37"/>
      <c r="E4" s="45"/>
      <c r="F4" s="31"/>
      <c r="G4" s="36"/>
      <c r="H4" s="37"/>
      <c r="J4" s="36"/>
      <c r="K4" s="31"/>
    </row>
    <row r="5" spans="1:11" x14ac:dyDescent="0.25">
      <c r="A5" s="37" t="s">
        <v>58</v>
      </c>
      <c r="B5" s="45">
        <f>LOOKUP(Handicaps!A5,Table1[Column1],Table1[New Handicap])</f>
        <v>-110</v>
      </c>
      <c r="C5" s="31"/>
      <c r="D5" s="38" t="s">
        <v>66</v>
      </c>
      <c r="E5" s="45">
        <f>LOOKUP(Handicaps!D5,Table1[Column1],Table1[New Handicap])</f>
        <v>-155</v>
      </c>
      <c r="F5" s="36"/>
      <c r="G5" s="38" t="s">
        <v>85</v>
      </c>
      <c r="H5" s="45">
        <f>LOOKUP(Handicaps!G5,Table1[Column1],Table1[New Handicap])</f>
        <v>-205</v>
      </c>
      <c r="J5" s="61" t="s">
        <v>96</v>
      </c>
      <c r="K5" s="45">
        <f>LOOKUP(Handicaps!J5,Table1[Column1],Table1[New Handicap])</f>
        <v>-165</v>
      </c>
    </row>
    <row r="6" spans="1:11" x14ac:dyDescent="0.25">
      <c r="A6" s="37" t="s">
        <v>60</v>
      </c>
      <c r="B6" s="45">
        <f>LOOKUP(Handicaps!A6,Table1[Column1],Table1[New Handicap])</f>
        <v>-100</v>
      </c>
      <c r="C6" s="37"/>
      <c r="D6" s="38" t="s">
        <v>62</v>
      </c>
      <c r="E6" s="45">
        <f>LOOKUP(Handicaps!D6,Table1[Column1],Table1[New Handicap])</f>
        <v>-150</v>
      </c>
      <c r="F6" s="37"/>
      <c r="G6" s="31" t="s">
        <v>86</v>
      </c>
      <c r="H6" s="45">
        <f>LOOKUP(Handicaps!G6,Table1[Column1],Table1[New Handicap])</f>
        <v>-110</v>
      </c>
      <c r="J6" s="61" t="s">
        <v>73</v>
      </c>
      <c r="K6" s="45">
        <f>LOOKUP(Handicaps!J6,Table1[Column1],Table1[New Handicap])</f>
        <v>45</v>
      </c>
    </row>
    <row r="7" spans="1:11" x14ac:dyDescent="0.25">
      <c r="A7" s="37" t="s">
        <v>136</v>
      </c>
      <c r="B7" s="45">
        <f>LOOKUP(Handicaps!A7,Table1[Column1],Table1[New Handicap])</f>
        <v>-150</v>
      </c>
      <c r="C7" s="37"/>
      <c r="D7" s="38" t="s">
        <v>64</v>
      </c>
      <c r="E7" s="45">
        <f>LOOKUP(Handicaps!D7,Table1[Column1],Table1[New Handicap])</f>
        <v>-80</v>
      </c>
      <c r="F7" s="38"/>
      <c r="G7" s="37" t="s">
        <v>77</v>
      </c>
      <c r="H7" s="45">
        <f>LOOKUP(Handicaps!G7,Table1[Column1],Table1[New Handicap])</f>
        <v>-20</v>
      </c>
      <c r="J7" s="73" t="s">
        <v>93</v>
      </c>
      <c r="K7" s="45">
        <f>LOOKUP(Handicaps!J7,Table1[Column1],Table1[New Handicap])</f>
        <v>65</v>
      </c>
    </row>
    <row r="8" spans="1:11" x14ac:dyDescent="0.25">
      <c r="A8" s="37" t="s">
        <v>61</v>
      </c>
      <c r="B8" s="45">
        <f>LOOKUP(Handicaps!A8,Table1[Column1],Table1[New Handicap])</f>
        <v>-25</v>
      </c>
      <c r="C8" s="37"/>
      <c r="D8" s="38" t="s">
        <v>63</v>
      </c>
      <c r="E8" s="45">
        <f>LOOKUP(Handicaps!D8,Table1[Column1],Table1[New Handicap])</f>
        <v>-20</v>
      </c>
      <c r="F8" s="38"/>
      <c r="G8" s="38" t="s">
        <v>72</v>
      </c>
      <c r="H8" s="45">
        <f>LOOKUP(Handicaps!G8,Table1[Column1],Table1[New Handicap])</f>
        <v>-5</v>
      </c>
    </row>
    <row r="9" spans="1:11" x14ac:dyDescent="0.25">
      <c r="B9" s="48"/>
      <c r="C9" s="37"/>
      <c r="D9" s="61" t="s">
        <v>65</v>
      </c>
      <c r="E9" s="45">
        <f>LOOKUP(Handicaps!D9,Table1[Column1],Table1[New Handicap])</f>
        <v>-40</v>
      </c>
      <c r="F9" s="38"/>
      <c r="G9" s="37" t="s">
        <v>87</v>
      </c>
      <c r="H9" s="45">
        <f>LOOKUP(Handicaps!G9,Table1[Column1],Table1[New Handicap])</f>
        <v>55</v>
      </c>
    </row>
    <row r="10" spans="1:11" x14ac:dyDescent="0.25">
      <c r="A10" s="37"/>
      <c r="B10" s="37"/>
      <c r="C10" s="37"/>
      <c r="D10" s="73" t="s">
        <v>68</v>
      </c>
      <c r="E10" s="45">
        <f>LOOKUP(Handicaps!D10,Table1[Column1],Table1[New Handicap])</f>
        <v>85</v>
      </c>
      <c r="F10" s="38"/>
    </row>
    <row r="11" spans="1:11" x14ac:dyDescent="0.25">
      <c r="A11" s="37"/>
      <c r="B11" s="37"/>
      <c r="C11" s="37"/>
      <c r="F11" s="38"/>
      <c r="G11" s="37"/>
      <c r="H11" s="45"/>
    </row>
    <row r="12" spans="1:11" x14ac:dyDescent="0.25">
      <c r="B12" s="37"/>
      <c r="C12" s="37"/>
      <c r="D12" s="38"/>
      <c r="E12" s="45"/>
      <c r="F12" s="38"/>
      <c r="G12" s="37"/>
      <c r="H12" s="45"/>
    </row>
    <row r="13" spans="1:11" x14ac:dyDescent="0.25">
      <c r="A13" s="36" t="s">
        <v>147</v>
      </c>
      <c r="C13" s="37"/>
      <c r="D13" s="36" t="s">
        <v>44</v>
      </c>
      <c r="E13" s="31"/>
      <c r="F13" s="38"/>
      <c r="G13" s="36" t="s">
        <v>146</v>
      </c>
      <c r="H13" s="37"/>
    </row>
    <row r="14" spans="1:11" x14ac:dyDescent="0.25">
      <c r="C14" s="37"/>
      <c r="D14" s="36"/>
      <c r="E14" s="31"/>
      <c r="F14" s="37"/>
      <c r="G14" s="37"/>
      <c r="H14" s="37"/>
    </row>
    <row r="15" spans="1:11" x14ac:dyDescent="0.25">
      <c r="A15" s="62" t="s">
        <v>143</v>
      </c>
      <c r="B15" s="45">
        <f>LOOKUP(Handicaps!A15,Table1[Column1],Table1[New Handicap])</f>
        <v>-180</v>
      </c>
      <c r="C15" s="37"/>
      <c r="D15" s="31" t="s">
        <v>69</v>
      </c>
      <c r="E15" s="45">
        <f>LOOKUP(Handicaps!D15,Table1[Column1],Table1[New Handicap])</f>
        <v>-165</v>
      </c>
      <c r="F15" s="31"/>
      <c r="G15" s="37" t="s">
        <v>56</v>
      </c>
      <c r="H15" s="45">
        <f>LOOKUP(Handicaps!G15,Table1[Column1],Table1[New Handicap])</f>
        <v>-70</v>
      </c>
    </row>
    <row r="16" spans="1:11" x14ac:dyDescent="0.25">
      <c r="A16" s="62" t="s">
        <v>139</v>
      </c>
      <c r="B16" s="45">
        <f>LOOKUP(Handicaps!A16,Table1[Column1],Table1[New Handicap])</f>
        <v>-160</v>
      </c>
      <c r="C16" s="37"/>
      <c r="D16" s="37" t="s">
        <v>67</v>
      </c>
      <c r="E16" s="45">
        <f>LOOKUP(Handicaps!D16,Table1[Column1],Table1[New Handicap])</f>
        <v>25</v>
      </c>
      <c r="F16" s="37"/>
      <c r="G16" s="37" t="s">
        <v>78</v>
      </c>
      <c r="H16" s="45">
        <f>LOOKUP(Handicaps!G16,Table1[Column1],Table1[New Handicap])</f>
        <v>-35</v>
      </c>
    </row>
    <row r="17" spans="1:11" x14ac:dyDescent="0.25">
      <c r="A17" s="62" t="s">
        <v>138</v>
      </c>
      <c r="B17" s="45">
        <f>LOOKUP(Handicaps!A17,Table1[Column1],Table1[New Handicap])</f>
        <v>-110</v>
      </c>
      <c r="C17" s="37"/>
      <c r="D17" s="37" t="s">
        <v>71</v>
      </c>
      <c r="E17" s="45">
        <f>LOOKUP(Handicaps!D17,Table1[Column1],Table1[New Handicap])</f>
        <v>25</v>
      </c>
      <c r="F17" s="38"/>
      <c r="G17" s="38" t="s">
        <v>76</v>
      </c>
      <c r="H17" s="45">
        <f>LOOKUP(Handicaps!G17,Table1[Column1],Table1[New Handicap])</f>
        <v>-20</v>
      </c>
    </row>
    <row r="18" spans="1:11" x14ac:dyDescent="0.25">
      <c r="A18" s="62" t="s">
        <v>140</v>
      </c>
      <c r="B18" s="45">
        <f>LOOKUP(Handicaps!A18,Table1[Column1],Table1[New Handicap])</f>
        <v>-130</v>
      </c>
      <c r="C18" s="37"/>
      <c r="D18" s="37" t="s">
        <v>70</v>
      </c>
      <c r="E18" s="45">
        <f>LOOKUP(Handicaps!D18,Table1[Column1],Table1[New Handicap])</f>
        <v>25</v>
      </c>
      <c r="F18" s="38"/>
      <c r="G18" s="37" t="s">
        <v>55</v>
      </c>
      <c r="H18" s="45">
        <f>LOOKUP(Handicaps!G18,Table1[Column1],Table1[New Handicap])</f>
        <v>-10</v>
      </c>
    </row>
    <row r="19" spans="1:11" x14ac:dyDescent="0.25">
      <c r="A19" s="62" t="s">
        <v>141</v>
      </c>
      <c r="B19" s="45">
        <f>LOOKUP(Handicaps!A19,Table1[Column1],Table1[New Handicap])</f>
        <v>-80</v>
      </c>
      <c r="C19" s="37"/>
      <c r="F19" s="38"/>
      <c r="G19" s="61" t="s">
        <v>94</v>
      </c>
      <c r="H19" s="45">
        <f>LOOKUP(Handicaps!G19,Table1[Column1],Table1[New Handicap])</f>
        <v>-15</v>
      </c>
    </row>
    <row r="20" spans="1:11" x14ac:dyDescent="0.25">
      <c r="A20" s="62" t="s">
        <v>142</v>
      </c>
      <c r="B20" s="45">
        <f>LOOKUP(Handicaps!A20,Table1[Column1],Table1[New Handicap])</f>
        <v>-80</v>
      </c>
      <c r="C20" s="37"/>
      <c r="F20" s="38"/>
      <c r="G20" s="37" t="s">
        <v>75</v>
      </c>
      <c r="H20" s="45">
        <f>LOOKUP(Handicaps!G20,Table1[Column1],Table1[New Handicap])</f>
        <v>-5</v>
      </c>
    </row>
    <row r="21" spans="1:11" x14ac:dyDescent="0.25">
      <c r="A21" s="62" t="s">
        <v>137</v>
      </c>
      <c r="B21" s="45">
        <f>LOOKUP(Handicaps!A21,Table1[Column1],Table1[New Handicap])</f>
        <v>-70</v>
      </c>
      <c r="C21" s="37"/>
      <c r="F21" s="38"/>
      <c r="G21" s="61" t="s">
        <v>74</v>
      </c>
      <c r="H21" s="45">
        <f>LOOKUP(Handicaps!G21,Table1[Column1],Table1[New Handicap])</f>
        <v>50</v>
      </c>
    </row>
    <row r="22" spans="1:11" x14ac:dyDescent="0.25">
      <c r="G22" s="62"/>
      <c r="H22" s="45"/>
    </row>
    <row r="23" spans="1:11" x14ac:dyDescent="0.25">
      <c r="C23" s="37"/>
      <c r="F23" s="38"/>
      <c r="G23" s="62"/>
    </row>
    <row r="24" spans="1:11" x14ac:dyDescent="0.25">
      <c r="C24" s="37"/>
      <c r="G24" s="62"/>
      <c r="H24" s="45"/>
    </row>
    <row r="25" spans="1:11" x14ac:dyDescent="0.25">
      <c r="C25" s="37"/>
      <c r="F25" s="38"/>
      <c r="G25" s="62"/>
      <c r="J25" s="58" t="s">
        <v>144</v>
      </c>
    </row>
    <row r="26" spans="1:11" x14ac:dyDescent="0.25">
      <c r="C26" s="37"/>
      <c r="F26" s="38"/>
      <c r="G26" s="62"/>
    </row>
    <row r="27" spans="1:11" x14ac:dyDescent="0.25">
      <c r="C27" s="37"/>
      <c r="F27" s="38"/>
      <c r="G27" s="62"/>
      <c r="J27" s="61" t="s">
        <v>89</v>
      </c>
      <c r="K27" s="45">
        <f>LOOKUP(Handicaps!J27,Table1[Column1],Table1[New Handicap])</f>
        <v>-55</v>
      </c>
    </row>
    <row r="28" spans="1:11" x14ac:dyDescent="0.25">
      <c r="C28" s="37"/>
      <c r="F28" s="38"/>
      <c r="J28" s="73" t="s">
        <v>92</v>
      </c>
      <c r="K28" s="45">
        <f>LOOKUP(Handicaps!J28,Table1[Column1],Table1[New Handicap])</f>
        <v>-50</v>
      </c>
    </row>
    <row r="29" spans="1:11" x14ac:dyDescent="0.25">
      <c r="C29" s="37"/>
      <c r="F29" s="38"/>
      <c r="J29" s="61" t="s">
        <v>97</v>
      </c>
      <c r="K29" s="45">
        <f>LOOKUP(Handicaps!J29,Table1[Column1],Table1[New Handicap])</f>
        <v>-35</v>
      </c>
    </row>
    <row r="30" spans="1:11" x14ac:dyDescent="0.25">
      <c r="C30" s="37"/>
      <c r="D30" s="37"/>
      <c r="E30" s="37"/>
      <c r="F30" s="38"/>
      <c r="J30" s="61" t="s">
        <v>59</v>
      </c>
      <c r="K30" s="45">
        <f>LOOKUP(Handicaps!J30,Table1[Column1],Table1[New Handicap])</f>
        <v>5</v>
      </c>
    </row>
    <row r="31" spans="1:11" x14ac:dyDescent="0.25">
      <c r="J31" s="61" t="s">
        <v>90</v>
      </c>
      <c r="K31" s="45">
        <f>LOOKUP(Handicaps!J31,Table1[Column1],Table1[New Handicap])</f>
        <v>20</v>
      </c>
    </row>
    <row r="32" spans="1:11" x14ac:dyDescent="0.25">
      <c r="J32" s="61" t="s">
        <v>98</v>
      </c>
      <c r="K32" s="45">
        <f>LOOKUP(Handicaps!J32,Table1[Column1],Table1[New Handicap])</f>
        <v>35</v>
      </c>
    </row>
    <row r="33" spans="1:11" x14ac:dyDescent="0.25">
      <c r="C33" s="37"/>
      <c r="D33" s="37"/>
      <c r="E33" s="37"/>
      <c r="F33" s="38"/>
      <c r="G33" s="38"/>
      <c r="J33" s="61" t="s">
        <v>95</v>
      </c>
      <c r="K33" s="45">
        <f>LOOKUP(Handicaps!J33,Table1[Column1],Table1[New Handicap])</f>
        <v>40</v>
      </c>
    </row>
    <row r="34" spans="1:11" x14ac:dyDescent="0.25">
      <c r="C34" s="37"/>
      <c r="D34" s="37"/>
      <c r="E34" s="37"/>
      <c r="F34" s="38"/>
      <c r="G34" s="38"/>
      <c r="J34" s="73" t="s">
        <v>91</v>
      </c>
      <c r="K34" s="45">
        <f>LOOKUP(Handicaps!J34,Table1[Column1],Table1[New Handicap])</f>
        <v>50</v>
      </c>
    </row>
    <row r="35" spans="1:11" x14ac:dyDescent="0.25">
      <c r="C35" s="37"/>
      <c r="D35" s="37"/>
      <c r="E35" s="37"/>
      <c r="F35" s="38"/>
      <c r="G35" s="38"/>
      <c r="J35" s="61" t="s">
        <v>88</v>
      </c>
      <c r="K35" s="45">
        <f>LOOKUP(Handicaps!J35,Table1[Column1],Table1[New Handicap])</f>
        <v>105</v>
      </c>
    </row>
    <row r="36" spans="1:11" x14ac:dyDescent="0.25">
      <c r="A36" s="37"/>
      <c r="B36" s="37"/>
      <c r="C36" s="37"/>
      <c r="D36" s="37"/>
      <c r="E36" s="37"/>
      <c r="F36" s="38"/>
      <c r="G36" s="38"/>
    </row>
    <row r="37" spans="1:11" x14ac:dyDescent="0.25">
      <c r="B37" s="37"/>
      <c r="C37" s="37"/>
      <c r="D37" s="37"/>
      <c r="E37" s="37"/>
      <c r="F37" s="38"/>
      <c r="G37" s="38"/>
    </row>
    <row r="38" spans="1:11" x14ac:dyDescent="0.25">
      <c r="A38" s="38"/>
      <c r="B38" s="40"/>
      <c r="C38" s="37"/>
      <c r="D38" s="37"/>
      <c r="E38" s="37"/>
      <c r="F38" s="38"/>
      <c r="G38" s="38"/>
    </row>
    <row r="39" spans="1:11" x14ac:dyDescent="0.25">
      <c r="A39" s="38"/>
      <c r="B39" s="40"/>
      <c r="C39" s="37"/>
      <c r="D39" s="37"/>
      <c r="E39" s="37"/>
      <c r="F39" s="38"/>
      <c r="G39" s="38"/>
    </row>
    <row r="40" spans="1:11" x14ac:dyDescent="0.25">
      <c r="A40" s="38"/>
      <c r="B40" s="39"/>
      <c r="C40" s="37"/>
      <c r="D40" s="37"/>
      <c r="E40" s="37"/>
      <c r="F40" s="38"/>
      <c r="G40" s="38"/>
    </row>
    <row r="41" spans="1:11" x14ac:dyDescent="0.25">
      <c r="A41" s="37"/>
      <c r="B41" s="37"/>
      <c r="C41" s="37"/>
      <c r="D41" s="37"/>
      <c r="E41" s="37"/>
      <c r="F41" s="38"/>
      <c r="G41" s="38"/>
    </row>
    <row r="42" spans="1:11" x14ac:dyDescent="0.25">
      <c r="A42" s="38"/>
      <c r="B42" s="39"/>
      <c r="C42" s="37"/>
      <c r="D42" s="37"/>
      <c r="E42" s="37"/>
      <c r="F42" s="38"/>
      <c r="G42" s="38"/>
    </row>
    <row r="43" spans="1:11" x14ac:dyDescent="0.25">
      <c r="A43" s="37"/>
      <c r="B43" s="37"/>
      <c r="C43" s="37"/>
      <c r="D43" s="37"/>
      <c r="E43" s="37"/>
      <c r="F43" s="38"/>
      <c r="G43" s="38"/>
    </row>
    <row r="44" spans="1:11" x14ac:dyDescent="0.25">
      <c r="A44" s="36"/>
      <c r="B44" s="37"/>
      <c r="C44" s="37"/>
      <c r="D44" s="37"/>
      <c r="E44" s="37"/>
      <c r="F44" s="38"/>
      <c r="G44" s="38"/>
    </row>
    <row r="45" spans="1:11" x14ac:dyDescent="0.25">
      <c r="A45" s="38"/>
      <c r="B45" s="40"/>
      <c r="C45" s="37"/>
      <c r="D45" s="37"/>
      <c r="E45" s="37"/>
      <c r="F45" s="38"/>
      <c r="G45" s="38"/>
    </row>
    <row r="46" spans="1:11" x14ac:dyDescent="0.25">
      <c r="A46" s="38"/>
      <c r="B46" s="39"/>
      <c r="C46" s="37"/>
      <c r="D46" s="37"/>
      <c r="E46" s="37"/>
      <c r="F46" s="38"/>
      <c r="G46" s="38"/>
    </row>
    <row r="47" spans="1:11" x14ac:dyDescent="0.25">
      <c r="A47" s="38"/>
      <c r="B47" s="39"/>
      <c r="C47" s="37"/>
      <c r="D47" s="37"/>
      <c r="E47" s="37"/>
      <c r="F47" s="38"/>
      <c r="G47" s="38"/>
    </row>
    <row r="48" spans="1:11" x14ac:dyDescent="0.25">
      <c r="A48" s="38"/>
      <c r="B48" s="39"/>
      <c r="C48" s="37"/>
      <c r="D48" s="37"/>
      <c r="E48" s="37"/>
      <c r="F48" s="38"/>
      <c r="G48" s="38"/>
    </row>
    <row r="49" spans="1:7" x14ac:dyDescent="0.25">
      <c r="A49" s="38"/>
      <c r="B49" s="39"/>
      <c r="C49" s="37"/>
      <c r="D49" s="37"/>
      <c r="E49" s="37"/>
      <c r="F49" s="38"/>
      <c r="G49" s="38"/>
    </row>
    <row r="50" spans="1:7" x14ac:dyDescent="0.25">
      <c r="A50" s="38"/>
      <c r="B50" s="39"/>
      <c r="C50" s="37"/>
      <c r="D50" s="37"/>
      <c r="E50" s="37"/>
      <c r="F50" s="38"/>
      <c r="G50" s="43"/>
    </row>
    <row r="51" spans="1:7" x14ac:dyDescent="0.25">
      <c r="A51" s="37"/>
      <c r="B51" s="37"/>
      <c r="C51" s="37"/>
      <c r="D51" s="37"/>
      <c r="E51" s="37"/>
      <c r="F51" s="38"/>
      <c r="G51" s="38"/>
    </row>
    <row r="52" spans="1:7" x14ac:dyDescent="0.25">
      <c r="A52" s="36"/>
      <c r="B52" s="37"/>
      <c r="C52" s="37"/>
      <c r="D52" s="37"/>
      <c r="E52" s="37"/>
      <c r="F52" s="38"/>
      <c r="G52" s="38"/>
    </row>
    <row r="53" spans="1:7" x14ac:dyDescent="0.25">
      <c r="A53" s="37"/>
      <c r="B53" s="37"/>
      <c r="C53" s="37"/>
      <c r="D53" s="37"/>
      <c r="E53" s="37"/>
      <c r="F53" s="38"/>
      <c r="G53" s="38"/>
    </row>
    <row r="54" spans="1:7" x14ac:dyDescent="0.25">
      <c r="A54" s="38"/>
      <c r="B54" s="39"/>
      <c r="C54" s="37"/>
      <c r="D54" s="37"/>
      <c r="E54" s="37"/>
      <c r="F54" s="38"/>
      <c r="G54" s="38"/>
    </row>
    <row r="55" spans="1:7" x14ac:dyDescent="0.25">
      <c r="A55" s="37"/>
      <c r="B55" s="41"/>
      <c r="C55" s="37"/>
      <c r="D55" s="37"/>
      <c r="E55" s="37"/>
      <c r="F55" s="38"/>
      <c r="G55" s="38"/>
    </row>
    <row r="56" spans="1:7" x14ac:dyDescent="0.25">
      <c r="A56" s="38"/>
      <c r="B56" s="40"/>
      <c r="C56" s="37"/>
      <c r="D56" s="37"/>
      <c r="E56" s="37"/>
      <c r="F56" s="38"/>
      <c r="G56" s="38"/>
    </row>
    <row r="57" spans="1:7" x14ac:dyDescent="0.25">
      <c r="A57" s="38"/>
      <c r="B57" s="40"/>
      <c r="C57" s="37"/>
      <c r="D57" s="37"/>
      <c r="E57" s="37"/>
      <c r="F57" s="38"/>
      <c r="G57" s="37"/>
    </row>
    <row r="58" spans="1:7" x14ac:dyDescent="0.25">
      <c r="A58" s="38"/>
      <c r="B58" s="40"/>
      <c r="C58" s="37"/>
      <c r="D58" s="37"/>
      <c r="E58" s="37"/>
      <c r="F58" s="37"/>
    </row>
    <row r="60" spans="1:7" x14ac:dyDescent="0.25">
      <c r="A60" s="36"/>
      <c r="B60" s="37"/>
      <c r="F60" s="44"/>
    </row>
    <row r="61" spans="1:7" x14ac:dyDescent="0.25">
      <c r="A61" s="37"/>
      <c r="B61" s="37"/>
      <c r="F61" s="44"/>
    </row>
    <row r="62" spans="1:7" x14ac:dyDescent="0.25">
      <c r="A62" s="38"/>
      <c r="B62" s="39"/>
      <c r="F62" s="44"/>
    </row>
    <row r="63" spans="1:7" x14ac:dyDescent="0.25">
      <c r="A63" s="38"/>
      <c r="B63" s="39"/>
    </row>
    <row r="64" spans="1:7" x14ac:dyDescent="0.25">
      <c r="A64" s="38"/>
      <c r="B64" s="40"/>
    </row>
    <row r="65" spans="1:2" x14ac:dyDescent="0.25">
      <c r="A65" s="38"/>
      <c r="B65" s="42"/>
    </row>
    <row r="66" spans="1:2" x14ac:dyDescent="0.25">
      <c r="A66" s="38"/>
      <c r="B66" s="39"/>
    </row>
  </sheetData>
  <sortState xmlns:xlrd2="http://schemas.microsoft.com/office/spreadsheetml/2017/richdata2" ref="J5:K7">
    <sortCondition ref="K5:K7"/>
  </sortState>
  <mergeCells count="1">
    <mergeCell ref="A1:G1"/>
  </mergeCells>
  <pageMargins left="0.7" right="0.7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X50"/>
  <sheetViews>
    <sheetView topLeftCell="N1" zoomScale="118" zoomScaleNormal="118" workbookViewId="0">
      <selection activeCell="U6" sqref="U6"/>
    </sheetView>
  </sheetViews>
  <sheetFormatPr defaultRowHeight="15" x14ac:dyDescent="0.25"/>
  <cols>
    <col min="1" max="1" width="25.140625" customWidth="1"/>
    <col min="2" max="4" width="5.7109375" customWidth="1"/>
    <col min="5" max="5" width="7.7109375" customWidth="1"/>
    <col min="6" max="20" width="4.7109375" customWidth="1"/>
    <col min="21" max="24" width="7.7109375" customWidth="1"/>
  </cols>
  <sheetData>
    <row r="2" spans="1:24" ht="18" x14ac:dyDescent="0.25">
      <c r="F2" s="2" t="s">
        <v>162</v>
      </c>
    </row>
    <row r="3" spans="1:24" ht="18" x14ac:dyDescent="0.25">
      <c r="F3" s="2"/>
    </row>
    <row r="4" spans="1:24" x14ac:dyDescent="0.25">
      <c r="A4" s="4" t="s">
        <v>47</v>
      </c>
      <c r="B4" s="3" t="s">
        <v>48</v>
      </c>
      <c r="C4" s="3" t="s">
        <v>49</v>
      </c>
      <c r="D4" s="3" t="s">
        <v>50</v>
      </c>
      <c r="E4" s="3"/>
      <c r="F4" s="5">
        <v>1</v>
      </c>
      <c r="G4" s="5">
        <v>2</v>
      </c>
      <c r="H4" s="5">
        <v>3</v>
      </c>
      <c r="I4" s="5">
        <v>4</v>
      </c>
      <c r="J4" s="5">
        <v>5</v>
      </c>
      <c r="K4" s="5">
        <v>6</v>
      </c>
      <c r="L4" s="5">
        <v>7</v>
      </c>
      <c r="M4" s="5">
        <v>8</v>
      </c>
      <c r="N4" s="5">
        <v>9</v>
      </c>
      <c r="O4" s="5">
        <v>10</v>
      </c>
      <c r="P4" s="5">
        <v>11</v>
      </c>
      <c r="Q4" s="5">
        <v>12</v>
      </c>
      <c r="R4" s="5">
        <v>13</v>
      </c>
      <c r="S4" s="5">
        <v>14</v>
      </c>
      <c r="T4" s="5">
        <v>15</v>
      </c>
      <c r="U4" s="6" t="s">
        <v>51</v>
      </c>
      <c r="V4" s="7" t="s">
        <v>52</v>
      </c>
      <c r="W4" s="7" t="s">
        <v>53</v>
      </c>
      <c r="X4" s="6" t="s">
        <v>54</v>
      </c>
    </row>
    <row r="5" spans="1:24" x14ac:dyDescent="0.25">
      <c r="A5" s="14" t="s">
        <v>148</v>
      </c>
      <c r="B5" s="15">
        <f>SUM(B6:B10)</f>
        <v>0</v>
      </c>
      <c r="C5" s="15">
        <f>SUM(C6:C10)</f>
        <v>0</v>
      </c>
      <c r="D5" s="15">
        <f t="shared" ref="D5:D11" si="0">SUM(B5-C5)</f>
        <v>0</v>
      </c>
      <c r="E5" s="15"/>
      <c r="F5" s="16">
        <f t="shared" ref="F5:T5" si="1">COUNTIF(F6:F9,"w")</f>
        <v>0</v>
      </c>
      <c r="G5" s="16">
        <f t="shared" si="1"/>
        <v>0</v>
      </c>
      <c r="H5" s="16">
        <f t="shared" si="1"/>
        <v>0</v>
      </c>
      <c r="I5" s="16">
        <f t="shared" si="1"/>
        <v>0</v>
      </c>
      <c r="J5" s="16">
        <f t="shared" si="1"/>
        <v>0</v>
      </c>
      <c r="K5" s="16">
        <f t="shared" si="1"/>
        <v>0</v>
      </c>
      <c r="L5" s="16">
        <f t="shared" si="1"/>
        <v>0</v>
      </c>
      <c r="M5" s="16">
        <f t="shared" si="1"/>
        <v>0</v>
      </c>
      <c r="N5" s="16">
        <f t="shared" si="1"/>
        <v>0</v>
      </c>
      <c r="O5" s="16">
        <f t="shared" si="1"/>
        <v>0</v>
      </c>
      <c r="P5" s="16">
        <f t="shared" si="1"/>
        <v>0</v>
      </c>
      <c r="Q5" s="16">
        <f t="shared" si="1"/>
        <v>0</v>
      </c>
      <c r="R5" s="16">
        <f t="shared" si="1"/>
        <v>0</v>
      </c>
      <c r="S5" s="16">
        <f t="shared" si="1"/>
        <v>0</v>
      </c>
      <c r="T5" s="16">
        <f t="shared" si="1"/>
        <v>0</v>
      </c>
      <c r="U5" s="15"/>
      <c r="V5" s="15"/>
      <c r="W5" s="15"/>
      <c r="X5" s="17"/>
    </row>
    <row r="6" spans="1:24" x14ac:dyDescent="0.25">
      <c r="A6" s="18" t="s">
        <v>58</v>
      </c>
      <c r="B6" s="19">
        <f>COUNTIF(F6:T6,"w")</f>
        <v>0</v>
      </c>
      <c r="C6" s="19">
        <f>COUNTIF(F6:T6,"l")</f>
        <v>0</v>
      </c>
      <c r="D6" s="19">
        <f t="shared" si="0"/>
        <v>0</v>
      </c>
      <c r="E6" s="19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47" t="e">
        <f>B6/(B6+C6)</f>
        <v>#DIV/0!</v>
      </c>
      <c r="V6" s="21">
        <f>LOOKUP(A6,HandicapValues!H:H,HandicapValues!G:G)</f>
        <v>-110</v>
      </c>
      <c r="W6" s="19"/>
      <c r="X6" s="19"/>
    </row>
    <row r="7" spans="1:24" x14ac:dyDescent="0.25">
      <c r="A7" s="22" t="s">
        <v>60</v>
      </c>
      <c r="B7" s="19">
        <f t="shared" ref="B7:B10" si="2">COUNTIF(F7:T7,"w")</f>
        <v>0</v>
      </c>
      <c r="C7" s="19">
        <f t="shared" ref="C7:C10" si="3">COUNTIF(F7:T7,"l")</f>
        <v>0</v>
      </c>
      <c r="D7" s="19">
        <f t="shared" si="0"/>
        <v>0</v>
      </c>
      <c r="E7" s="12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47" t="e">
        <f>B7/(B7+C7)</f>
        <v>#DIV/0!</v>
      </c>
      <c r="V7" s="21">
        <f>LOOKUP(A7,HandicapValues!H:H,HandicapValues!G:G)</f>
        <v>-100</v>
      </c>
      <c r="W7" s="12"/>
      <c r="X7" s="12"/>
    </row>
    <row r="8" spans="1:24" x14ac:dyDescent="0.25">
      <c r="A8" s="18" t="s">
        <v>166</v>
      </c>
      <c r="B8" s="19">
        <f t="shared" si="2"/>
        <v>0</v>
      </c>
      <c r="C8" s="19">
        <f t="shared" si="3"/>
        <v>0</v>
      </c>
      <c r="D8" s="19">
        <f t="shared" si="0"/>
        <v>0</v>
      </c>
      <c r="E8" s="19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47" t="e">
        <f>B8/(B8+C8)</f>
        <v>#DIV/0!</v>
      </c>
      <c r="V8" s="21">
        <f>LOOKUP(A8,HandicapValues!H:H,HandicapValues!G:G)</f>
        <v>-150</v>
      </c>
      <c r="W8" s="19"/>
      <c r="X8" s="19"/>
    </row>
    <row r="9" spans="1:24" x14ac:dyDescent="0.25">
      <c r="A9" s="22" t="s">
        <v>61</v>
      </c>
      <c r="B9" s="19">
        <f t="shared" si="2"/>
        <v>0</v>
      </c>
      <c r="C9" s="19">
        <f t="shared" si="3"/>
        <v>0</v>
      </c>
      <c r="D9" s="19">
        <f t="shared" si="0"/>
        <v>0</v>
      </c>
      <c r="E9" s="12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47" t="e">
        <f>B9/(B9+C9)</f>
        <v>#DIV/0!</v>
      </c>
      <c r="V9" s="21">
        <f>LOOKUP(A9,HandicapValues!H:H,HandicapValues!G:G)</f>
        <v>-25</v>
      </c>
      <c r="W9" s="12"/>
      <c r="X9" s="12"/>
    </row>
    <row r="10" spans="1:24" x14ac:dyDescent="0.25">
      <c r="A10" s="18"/>
      <c r="B10" s="19">
        <f t="shared" si="2"/>
        <v>0</v>
      </c>
      <c r="C10" s="19">
        <f t="shared" si="3"/>
        <v>0</v>
      </c>
      <c r="D10" s="19">
        <f t="shared" ref="D10" si="4">SUM(B10-C10)</f>
        <v>0</v>
      </c>
      <c r="E10" s="19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47"/>
      <c r="V10" s="21"/>
      <c r="W10" s="19"/>
      <c r="X10" s="19"/>
    </row>
    <row r="11" spans="1:24" x14ac:dyDescent="0.25">
      <c r="A11" s="8" t="s">
        <v>147</v>
      </c>
      <c r="B11" s="15">
        <f>SUM(B12:B19)</f>
        <v>0</v>
      </c>
      <c r="C11" s="15">
        <f>SUM(C12:C19)</f>
        <v>0</v>
      </c>
      <c r="D11" s="15">
        <f t="shared" si="0"/>
        <v>0</v>
      </c>
      <c r="E11" s="9"/>
      <c r="F11" s="10">
        <f>COUNTIF(F12:F18,"w")</f>
        <v>0</v>
      </c>
      <c r="G11" s="10">
        <f t="shared" ref="G11:T11" si="5">COUNTIF(G12:G18,"w")</f>
        <v>0</v>
      </c>
      <c r="H11" s="10">
        <f t="shared" si="5"/>
        <v>0</v>
      </c>
      <c r="I11" s="10">
        <f t="shared" si="5"/>
        <v>0</v>
      </c>
      <c r="J11" s="10">
        <f t="shared" si="5"/>
        <v>0</v>
      </c>
      <c r="K11" s="10">
        <f t="shared" si="5"/>
        <v>0</v>
      </c>
      <c r="L11" s="10">
        <f t="shared" si="5"/>
        <v>0</v>
      </c>
      <c r="M11" s="10">
        <f t="shared" si="5"/>
        <v>0</v>
      </c>
      <c r="N11" s="10">
        <f t="shared" si="5"/>
        <v>0</v>
      </c>
      <c r="O11" s="10">
        <f t="shared" si="5"/>
        <v>0</v>
      </c>
      <c r="P11" s="10">
        <f t="shared" si="5"/>
        <v>0</v>
      </c>
      <c r="Q11" s="10">
        <f t="shared" si="5"/>
        <v>0</v>
      </c>
      <c r="R11" s="10">
        <f t="shared" si="5"/>
        <v>0</v>
      </c>
      <c r="S11" s="10">
        <f t="shared" si="5"/>
        <v>0</v>
      </c>
      <c r="T11" s="10">
        <f t="shared" si="5"/>
        <v>0</v>
      </c>
      <c r="U11" s="9"/>
      <c r="V11" s="9"/>
      <c r="W11" s="9"/>
      <c r="X11" s="11"/>
    </row>
    <row r="12" spans="1:24" x14ac:dyDescent="0.25">
      <c r="A12" s="18" t="s">
        <v>143</v>
      </c>
      <c r="B12" s="29">
        <f>COUNTIF(F12:T12,"w")</f>
        <v>0</v>
      </c>
      <c r="C12" s="29">
        <f>COUNTIF(F12:T12,"l")</f>
        <v>0</v>
      </c>
      <c r="D12" s="29">
        <f>SUM(B12-C12)</f>
        <v>0</v>
      </c>
      <c r="E12" s="29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46" t="e">
        <f>B12/(B12+C12)</f>
        <v>#DIV/0!</v>
      </c>
      <c r="V12" s="21">
        <f>LOOKUP(A12,HandicapValues!H:H,HandicapValues!G:G)</f>
        <v>-180</v>
      </c>
      <c r="W12" s="29"/>
      <c r="X12" s="29"/>
    </row>
    <row r="13" spans="1:24" x14ac:dyDescent="0.25">
      <c r="A13" s="18" t="s">
        <v>139</v>
      </c>
      <c r="B13" s="19">
        <f t="shared" ref="B13:B19" si="6">COUNTIF(F13:T13,"w")</f>
        <v>0</v>
      </c>
      <c r="C13" s="19">
        <f t="shared" ref="C13:C19" si="7">COUNTIF(F13:T13,"l")</f>
        <v>0</v>
      </c>
      <c r="D13" s="19">
        <f t="shared" ref="D13:D19" si="8">SUM(B13-C13)</f>
        <v>0</v>
      </c>
      <c r="E13" s="12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47" t="e">
        <f t="shared" ref="U13:U18" si="9">B13/(B13+C13)</f>
        <v>#DIV/0!</v>
      </c>
      <c r="V13" s="21">
        <f>LOOKUP(A13,HandicapValues!H:H,HandicapValues!G:G)</f>
        <v>-160</v>
      </c>
      <c r="W13" s="12"/>
      <c r="X13" s="12"/>
    </row>
    <row r="14" spans="1:24" x14ac:dyDescent="0.25">
      <c r="A14" s="18" t="s">
        <v>138</v>
      </c>
      <c r="B14" s="29">
        <f t="shared" si="6"/>
        <v>0</v>
      </c>
      <c r="C14" s="29">
        <f t="shared" si="7"/>
        <v>0</v>
      </c>
      <c r="D14" s="29">
        <f t="shared" si="8"/>
        <v>0</v>
      </c>
      <c r="E14" s="29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46" t="e">
        <f t="shared" si="9"/>
        <v>#DIV/0!</v>
      </c>
      <c r="V14" s="21">
        <f>LOOKUP(A14,HandicapValues!H:H,HandicapValues!G:G)</f>
        <v>-110</v>
      </c>
      <c r="W14" s="29"/>
      <c r="X14" s="29"/>
    </row>
    <row r="15" spans="1:24" x14ac:dyDescent="0.25">
      <c r="A15" s="18" t="s">
        <v>140</v>
      </c>
      <c r="B15" s="19">
        <f t="shared" si="6"/>
        <v>0</v>
      </c>
      <c r="C15" s="19">
        <f t="shared" si="7"/>
        <v>0</v>
      </c>
      <c r="D15" s="19">
        <f t="shared" si="8"/>
        <v>0</v>
      </c>
      <c r="E15" s="12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47" t="e">
        <f t="shared" si="9"/>
        <v>#DIV/0!</v>
      </c>
      <c r="V15" s="21">
        <f>LOOKUP(A15,HandicapValues!H:H,HandicapValues!G:G)</f>
        <v>-130</v>
      </c>
      <c r="W15" s="12"/>
      <c r="X15" s="12"/>
    </row>
    <row r="16" spans="1:24" x14ac:dyDescent="0.25">
      <c r="A16" s="18" t="s">
        <v>141</v>
      </c>
      <c r="B16" s="19">
        <f t="shared" ref="B16:B17" si="10">COUNTIF(F16:T16,"w")</f>
        <v>0</v>
      </c>
      <c r="C16" s="19">
        <f t="shared" ref="C16:C17" si="11">COUNTIF(F16:T16,"l")</f>
        <v>0</v>
      </c>
      <c r="D16" s="19">
        <f t="shared" ref="D16:D17" si="12">SUM(B16-C16)</f>
        <v>0</v>
      </c>
      <c r="E16" s="12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47" t="e">
        <f t="shared" ref="U16:U17" si="13">B16/(B16+C16)</f>
        <v>#DIV/0!</v>
      </c>
      <c r="V16" s="21">
        <f>LOOKUP(A16,HandicapValues!H:H,HandicapValues!G:G)</f>
        <v>-80</v>
      </c>
      <c r="W16" s="12"/>
      <c r="X16" s="12"/>
    </row>
    <row r="17" spans="1:24" x14ac:dyDescent="0.25">
      <c r="A17" s="18" t="s">
        <v>142</v>
      </c>
      <c r="B17" s="19">
        <f t="shared" si="10"/>
        <v>0</v>
      </c>
      <c r="C17" s="19">
        <f t="shared" si="11"/>
        <v>0</v>
      </c>
      <c r="D17" s="19">
        <f t="shared" si="12"/>
        <v>0</v>
      </c>
      <c r="E17" s="12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47" t="e">
        <f t="shared" si="13"/>
        <v>#DIV/0!</v>
      </c>
      <c r="V17" s="21">
        <f>LOOKUP(A17,HandicapValues!H:H,HandicapValues!G:G)</f>
        <v>-80</v>
      </c>
      <c r="W17" s="12"/>
      <c r="X17" s="12"/>
    </row>
    <row r="18" spans="1:24" x14ac:dyDescent="0.25">
      <c r="A18" s="18" t="s">
        <v>137</v>
      </c>
      <c r="B18" s="29">
        <f t="shared" si="6"/>
        <v>0</v>
      </c>
      <c r="C18" s="29">
        <f t="shared" si="7"/>
        <v>0</v>
      </c>
      <c r="D18" s="29">
        <f t="shared" si="8"/>
        <v>0</v>
      </c>
      <c r="E18" s="29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46" t="e">
        <f t="shared" si="9"/>
        <v>#DIV/0!</v>
      </c>
      <c r="V18" s="21">
        <f>LOOKUP(A18,HandicapValues!H:H,HandicapValues!G:G)</f>
        <v>-70</v>
      </c>
      <c r="W18" s="29"/>
      <c r="X18" s="29"/>
    </row>
    <row r="19" spans="1:24" x14ac:dyDescent="0.25">
      <c r="A19" s="18"/>
      <c r="B19" s="19">
        <f t="shared" si="6"/>
        <v>0</v>
      </c>
      <c r="C19" s="19">
        <f t="shared" si="7"/>
        <v>0</v>
      </c>
      <c r="D19" s="19">
        <f t="shared" si="8"/>
        <v>0</v>
      </c>
      <c r="E19" s="19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47"/>
      <c r="V19" s="21"/>
      <c r="W19" s="19"/>
      <c r="X19" s="19"/>
    </row>
    <row r="20" spans="1:24" x14ac:dyDescent="0.25">
      <c r="A20" s="25" t="s">
        <v>45</v>
      </c>
      <c r="B20" s="15">
        <f>SUM(B21:B27)</f>
        <v>0</v>
      </c>
      <c r="C20" s="15">
        <f>SUM(C21:C27)</f>
        <v>0</v>
      </c>
      <c r="D20" s="15">
        <f t="shared" ref="D20:D27" si="14">SUM(B20-C20)</f>
        <v>0</v>
      </c>
      <c r="E20" s="15"/>
      <c r="F20" s="16">
        <f>COUNTIF(F21:F27,"w")</f>
        <v>0</v>
      </c>
      <c r="G20" s="16">
        <f t="shared" ref="G20:S20" si="15">COUNTIF(G21:G27,"w")</f>
        <v>0</v>
      </c>
      <c r="H20" s="16">
        <f t="shared" si="15"/>
        <v>0</v>
      </c>
      <c r="I20" s="16">
        <f t="shared" si="15"/>
        <v>0</v>
      </c>
      <c r="J20" s="16">
        <f t="shared" si="15"/>
        <v>0</v>
      </c>
      <c r="K20" s="16">
        <f t="shared" si="15"/>
        <v>0</v>
      </c>
      <c r="L20" s="16">
        <f t="shared" si="15"/>
        <v>0</v>
      </c>
      <c r="M20" s="16">
        <f t="shared" si="15"/>
        <v>0</v>
      </c>
      <c r="N20" s="16">
        <f t="shared" si="15"/>
        <v>0</v>
      </c>
      <c r="O20" s="16">
        <f t="shared" si="15"/>
        <v>0</v>
      </c>
      <c r="P20" s="16">
        <f t="shared" si="15"/>
        <v>0</v>
      </c>
      <c r="Q20" s="16">
        <f t="shared" si="15"/>
        <v>0</v>
      </c>
      <c r="R20" s="16">
        <f t="shared" si="15"/>
        <v>0</v>
      </c>
      <c r="S20" s="16">
        <f t="shared" si="15"/>
        <v>0</v>
      </c>
      <c r="T20" s="16">
        <f>COUNTIF(T21:T27,"w")</f>
        <v>0</v>
      </c>
      <c r="U20" s="15"/>
      <c r="V20" s="15"/>
      <c r="W20" s="15"/>
      <c r="X20" s="15"/>
    </row>
    <row r="21" spans="1:24" x14ac:dyDescent="0.25">
      <c r="A21" s="18" t="s">
        <v>66</v>
      </c>
      <c r="B21" s="19">
        <f>COUNTIF(F21:T21,"w")</f>
        <v>0</v>
      </c>
      <c r="C21" s="19">
        <f>COUNTIF(F21:T21,"l")</f>
        <v>0</v>
      </c>
      <c r="D21" s="19">
        <f t="shared" si="14"/>
        <v>0</v>
      </c>
      <c r="E21" s="19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47" t="e">
        <f t="shared" ref="U21:U26" si="16">B21/(B21+C21)</f>
        <v>#DIV/0!</v>
      </c>
      <c r="V21" s="21">
        <f>LOOKUP(A21,HandicapValues!H:H,HandicapValues!G:G)</f>
        <v>-155</v>
      </c>
      <c r="W21" s="19"/>
      <c r="X21" s="19"/>
    </row>
    <row r="22" spans="1:24" x14ac:dyDescent="0.25">
      <c r="A22" s="18" t="s">
        <v>62</v>
      </c>
      <c r="B22" s="19">
        <f t="shared" ref="B22:B27" si="17">COUNTIF(F22:T22,"w")</f>
        <v>0</v>
      </c>
      <c r="C22" s="19">
        <f t="shared" ref="C22:C27" si="18">COUNTIF(F22:T22,"l")</f>
        <v>0</v>
      </c>
      <c r="D22" s="19">
        <f t="shared" si="14"/>
        <v>0</v>
      </c>
      <c r="E22" s="12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47" t="e">
        <f t="shared" si="16"/>
        <v>#DIV/0!</v>
      </c>
      <c r="V22" s="21">
        <f>LOOKUP(A22,HandicapValues!H:H,HandicapValues!G:G)</f>
        <v>-150</v>
      </c>
      <c r="W22" s="12"/>
      <c r="X22" s="12"/>
    </row>
    <row r="23" spans="1:24" x14ac:dyDescent="0.25">
      <c r="A23" s="18" t="s">
        <v>64</v>
      </c>
      <c r="B23" s="19">
        <f t="shared" si="17"/>
        <v>0</v>
      </c>
      <c r="C23" s="19">
        <f t="shared" si="18"/>
        <v>0</v>
      </c>
      <c r="D23" s="19">
        <f t="shared" si="14"/>
        <v>0</v>
      </c>
      <c r="E23" s="19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47" t="e">
        <f t="shared" si="16"/>
        <v>#DIV/0!</v>
      </c>
      <c r="V23" s="21">
        <f>LOOKUP(A23,HandicapValues!H:H,HandicapValues!G:G)</f>
        <v>-80</v>
      </c>
      <c r="W23" s="19"/>
      <c r="X23" s="19"/>
    </row>
    <row r="24" spans="1:24" x14ac:dyDescent="0.25">
      <c r="A24" s="18" t="s">
        <v>63</v>
      </c>
      <c r="B24" s="19">
        <f t="shared" si="17"/>
        <v>0</v>
      </c>
      <c r="C24" s="19">
        <f t="shared" si="18"/>
        <v>0</v>
      </c>
      <c r="D24" s="19">
        <f t="shared" si="14"/>
        <v>0</v>
      </c>
      <c r="E24" s="12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47" t="e">
        <f t="shared" si="16"/>
        <v>#DIV/0!</v>
      </c>
      <c r="V24" s="21">
        <f>LOOKUP(A24,HandicapValues!H:H,HandicapValues!G:G)</f>
        <v>-20</v>
      </c>
      <c r="W24" s="12"/>
      <c r="X24" s="12"/>
    </row>
    <row r="25" spans="1:24" x14ac:dyDescent="0.25">
      <c r="A25" s="18" t="s">
        <v>65</v>
      </c>
      <c r="B25" s="19">
        <f t="shared" si="17"/>
        <v>0</v>
      </c>
      <c r="C25" s="19">
        <f t="shared" si="18"/>
        <v>0</v>
      </c>
      <c r="D25" s="19">
        <f t="shared" si="14"/>
        <v>0</v>
      </c>
      <c r="E25" s="12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47" t="e">
        <f t="shared" si="16"/>
        <v>#DIV/0!</v>
      </c>
      <c r="V25" s="21">
        <f>LOOKUP(A25,HandicapValues!H:H,HandicapValues!G:G)</f>
        <v>-40</v>
      </c>
      <c r="W25" s="12"/>
      <c r="X25" s="12"/>
    </row>
    <row r="26" spans="1:24" x14ac:dyDescent="0.25">
      <c r="A26" s="18" t="s">
        <v>68</v>
      </c>
      <c r="B26" s="19">
        <f t="shared" si="17"/>
        <v>0</v>
      </c>
      <c r="C26" s="19">
        <f t="shared" si="18"/>
        <v>0</v>
      </c>
      <c r="D26" s="19">
        <f t="shared" si="14"/>
        <v>0</v>
      </c>
      <c r="E26" s="19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47" t="e">
        <f t="shared" si="16"/>
        <v>#DIV/0!</v>
      </c>
      <c r="V26" s="21">
        <f>LOOKUP(A26,HandicapValues!H:H,HandicapValues!G:G)</f>
        <v>85</v>
      </c>
      <c r="W26" s="19"/>
      <c r="X26" s="19"/>
    </row>
    <row r="27" spans="1:24" x14ac:dyDescent="0.25">
      <c r="A27" s="18"/>
      <c r="B27" s="19">
        <f t="shared" si="17"/>
        <v>0</v>
      </c>
      <c r="C27" s="19">
        <f t="shared" si="18"/>
        <v>0</v>
      </c>
      <c r="D27" s="19">
        <f t="shared" si="14"/>
        <v>0</v>
      </c>
      <c r="E27" s="19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47"/>
      <c r="V27" s="21"/>
      <c r="W27" s="19"/>
      <c r="X27" s="19"/>
    </row>
    <row r="28" spans="1:24" x14ac:dyDescent="0.25">
      <c r="A28" s="25" t="s">
        <v>44</v>
      </c>
      <c r="B28" s="15">
        <f>SUM(B29:B33)</f>
        <v>0</v>
      </c>
      <c r="C28" s="15">
        <f>SUM(C29:C33)</f>
        <v>0</v>
      </c>
      <c r="D28" s="15">
        <f t="shared" ref="D28:D33" si="19">SUM(B28-C28)</f>
        <v>0</v>
      </c>
      <c r="E28" s="15"/>
      <c r="F28" s="16">
        <f t="shared" ref="F28:T28" si="20">COUNTIF(F29:F32,"w")</f>
        <v>0</v>
      </c>
      <c r="G28" s="16">
        <f t="shared" si="20"/>
        <v>0</v>
      </c>
      <c r="H28" s="16">
        <f t="shared" si="20"/>
        <v>0</v>
      </c>
      <c r="I28" s="16">
        <f t="shared" si="20"/>
        <v>0</v>
      </c>
      <c r="J28" s="16">
        <f t="shared" si="20"/>
        <v>0</v>
      </c>
      <c r="K28" s="16">
        <f t="shared" si="20"/>
        <v>0</v>
      </c>
      <c r="L28" s="16">
        <f t="shared" si="20"/>
        <v>0</v>
      </c>
      <c r="M28" s="16">
        <f t="shared" si="20"/>
        <v>0</v>
      </c>
      <c r="N28" s="16">
        <f t="shared" si="20"/>
        <v>0</v>
      </c>
      <c r="O28" s="16">
        <f t="shared" si="20"/>
        <v>0</v>
      </c>
      <c r="P28" s="16">
        <f t="shared" si="20"/>
        <v>0</v>
      </c>
      <c r="Q28" s="16">
        <f t="shared" si="20"/>
        <v>0</v>
      </c>
      <c r="R28" s="16">
        <f t="shared" si="20"/>
        <v>0</v>
      </c>
      <c r="S28" s="16">
        <f t="shared" si="20"/>
        <v>0</v>
      </c>
      <c r="T28" s="16">
        <f t="shared" si="20"/>
        <v>0</v>
      </c>
      <c r="U28" s="15"/>
      <c r="V28" s="15"/>
      <c r="W28" s="15"/>
      <c r="X28" s="15"/>
    </row>
    <row r="29" spans="1:24" x14ac:dyDescent="0.25">
      <c r="A29" s="18" t="s">
        <v>69</v>
      </c>
      <c r="B29" s="19">
        <f>COUNTIF(F29:T29,"w")</f>
        <v>0</v>
      </c>
      <c r="C29" s="19">
        <f>COUNTIF(F29:T29,"l")</f>
        <v>0</v>
      </c>
      <c r="D29" s="19">
        <f t="shared" si="19"/>
        <v>0</v>
      </c>
      <c r="E29" s="19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8" t="e">
        <f t="shared" ref="U29:U45" si="21">B29/(B29+C29)</f>
        <v>#DIV/0!</v>
      </c>
      <c r="V29" s="21">
        <f>LOOKUP(A29,HandicapValues!H:H,HandicapValues!G:G)</f>
        <v>-165</v>
      </c>
      <c r="W29" s="19"/>
      <c r="X29" s="19"/>
    </row>
    <row r="30" spans="1:24" x14ac:dyDescent="0.25">
      <c r="A30" s="24" t="s">
        <v>67</v>
      </c>
      <c r="B30" s="19">
        <f t="shared" ref="B30:B32" si="22">SUM(F30:T30)</f>
        <v>0</v>
      </c>
      <c r="C30" s="19">
        <f t="shared" ref="C30:C32" si="23">COUNT(F30:T30)*3-B30</f>
        <v>0</v>
      </c>
      <c r="D30" s="19">
        <f t="shared" si="19"/>
        <v>0</v>
      </c>
      <c r="E30" s="12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27" t="e">
        <f t="shared" si="21"/>
        <v>#DIV/0!</v>
      </c>
      <c r="V30" s="21">
        <f>LOOKUP(A30,HandicapValues!H:H,HandicapValues!G:G)</f>
        <v>25</v>
      </c>
      <c r="W30" s="12"/>
      <c r="X30" s="12"/>
    </row>
    <row r="31" spans="1:24" x14ac:dyDescent="0.25">
      <c r="A31" s="18" t="s">
        <v>71</v>
      </c>
      <c r="B31" s="19">
        <f t="shared" si="22"/>
        <v>0</v>
      </c>
      <c r="C31" s="19">
        <f t="shared" si="23"/>
        <v>0</v>
      </c>
      <c r="D31" s="19">
        <f t="shared" si="19"/>
        <v>0</v>
      </c>
      <c r="E31" s="19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8" t="e">
        <f t="shared" si="21"/>
        <v>#DIV/0!</v>
      </c>
      <c r="V31" s="21">
        <f>LOOKUP(A31,HandicapValues!H:H,HandicapValues!G:G)</f>
        <v>25</v>
      </c>
      <c r="W31" s="19"/>
      <c r="X31" s="19"/>
    </row>
    <row r="32" spans="1:24" x14ac:dyDescent="0.25">
      <c r="A32" s="24" t="s">
        <v>70</v>
      </c>
      <c r="B32" s="19">
        <f t="shared" si="22"/>
        <v>0</v>
      </c>
      <c r="C32" s="19">
        <f t="shared" si="23"/>
        <v>0</v>
      </c>
      <c r="D32" s="19">
        <f t="shared" si="19"/>
        <v>0</v>
      </c>
      <c r="E32" s="12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27" t="e">
        <f t="shared" si="21"/>
        <v>#DIV/0!</v>
      </c>
      <c r="V32" s="21">
        <f>LOOKUP(A32,HandicapValues!H:H,HandicapValues!G:G)</f>
        <v>25</v>
      </c>
      <c r="W32" s="12"/>
      <c r="X32" s="12"/>
    </row>
    <row r="33" spans="1:24" x14ac:dyDescent="0.25">
      <c r="A33" s="18"/>
      <c r="B33" s="19">
        <f t="shared" ref="B33" si="24">COUNTIF(F33:T33,"w")</f>
        <v>0</v>
      </c>
      <c r="C33" s="19">
        <f t="shared" ref="C33" si="25">COUNTIF(F33:T33,"l")</f>
        <v>0</v>
      </c>
      <c r="D33" s="19">
        <f t="shared" si="19"/>
        <v>0</v>
      </c>
      <c r="E33" s="19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47"/>
      <c r="V33" s="21"/>
      <c r="W33" s="19"/>
      <c r="X33" s="19"/>
    </row>
    <row r="34" spans="1:24" x14ac:dyDescent="0.25">
      <c r="A34" s="25" t="s">
        <v>167</v>
      </c>
      <c r="B34" s="15">
        <f>SUM(B35:B40)</f>
        <v>0</v>
      </c>
      <c r="C34" s="15">
        <f>SUM(C35:C40)</f>
        <v>0</v>
      </c>
      <c r="D34" s="15">
        <f>SUM(B34-C34)</f>
        <v>0</v>
      </c>
      <c r="E34" s="15"/>
      <c r="F34" s="16">
        <f t="shared" ref="F34:T34" si="26">COUNTIF(F35:F39,"w")</f>
        <v>0</v>
      </c>
      <c r="G34" s="16">
        <f t="shared" si="26"/>
        <v>0</v>
      </c>
      <c r="H34" s="16">
        <f t="shared" si="26"/>
        <v>0</v>
      </c>
      <c r="I34" s="16">
        <f t="shared" si="26"/>
        <v>0</v>
      </c>
      <c r="J34" s="16">
        <f t="shared" si="26"/>
        <v>0</v>
      </c>
      <c r="K34" s="16">
        <f t="shared" si="26"/>
        <v>0</v>
      </c>
      <c r="L34" s="16">
        <f t="shared" si="26"/>
        <v>0</v>
      </c>
      <c r="M34" s="16">
        <f t="shared" si="26"/>
        <v>0</v>
      </c>
      <c r="N34" s="16">
        <f t="shared" si="26"/>
        <v>0</v>
      </c>
      <c r="O34" s="16">
        <f t="shared" si="26"/>
        <v>0</v>
      </c>
      <c r="P34" s="16">
        <f t="shared" si="26"/>
        <v>0</v>
      </c>
      <c r="Q34" s="16">
        <f t="shared" si="26"/>
        <v>0</v>
      </c>
      <c r="R34" s="16">
        <f t="shared" si="26"/>
        <v>0</v>
      </c>
      <c r="S34" s="16">
        <f t="shared" si="26"/>
        <v>0</v>
      </c>
      <c r="T34" s="16">
        <f t="shared" si="26"/>
        <v>0</v>
      </c>
      <c r="U34" s="15"/>
      <c r="V34" s="15"/>
      <c r="W34" s="15"/>
      <c r="X34" s="15"/>
    </row>
    <row r="35" spans="1:24" x14ac:dyDescent="0.25">
      <c r="A35" s="24" t="s">
        <v>85</v>
      </c>
      <c r="B35" s="19">
        <f>COUNTIF(F35:T35,"w")</f>
        <v>0</v>
      </c>
      <c r="C35" s="19">
        <f>COUNTIF(F35:T35,"l")</f>
        <v>0</v>
      </c>
      <c r="D35" s="19">
        <f>SUM(B35-C35)</f>
        <v>0</v>
      </c>
      <c r="E35" s="19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8" t="e">
        <f t="shared" si="21"/>
        <v>#DIV/0!</v>
      </c>
      <c r="V35" s="21">
        <f>LOOKUP(A35,HandicapValues!H:H,HandicapValues!G:G)</f>
        <v>-205</v>
      </c>
      <c r="W35" s="19"/>
      <c r="X35" s="19"/>
    </row>
    <row r="36" spans="1:24" x14ac:dyDescent="0.25">
      <c r="A36" s="24" t="s">
        <v>86</v>
      </c>
      <c r="B36" s="19">
        <f t="shared" ref="B36:B40" si="27">COUNTIF(F36:T36,"w")</f>
        <v>0</v>
      </c>
      <c r="C36" s="19">
        <f t="shared" ref="C36:C40" si="28">COUNTIF(F36:T36,"l")</f>
        <v>0</v>
      </c>
      <c r="D36" s="19">
        <f t="shared" ref="D36:D40" si="29">SUM(B36-C36)</f>
        <v>0</v>
      </c>
      <c r="E36" s="12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27" t="e">
        <f t="shared" si="21"/>
        <v>#DIV/0!</v>
      </c>
      <c r="V36" s="21">
        <f>LOOKUP(A36,HandicapValues!H:H,HandicapValues!G:G)</f>
        <v>-110</v>
      </c>
      <c r="W36" s="12"/>
      <c r="X36" s="12"/>
    </row>
    <row r="37" spans="1:24" x14ac:dyDescent="0.25">
      <c r="A37" s="24" t="s">
        <v>77</v>
      </c>
      <c r="B37" s="19">
        <f t="shared" si="27"/>
        <v>0</v>
      </c>
      <c r="C37" s="19">
        <f t="shared" si="28"/>
        <v>0</v>
      </c>
      <c r="D37" s="19">
        <f t="shared" si="29"/>
        <v>0</v>
      </c>
      <c r="E37" s="19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8" t="e">
        <f t="shared" si="21"/>
        <v>#DIV/0!</v>
      </c>
      <c r="V37" s="21">
        <f>LOOKUP(A37,HandicapValues!H:H,HandicapValues!G:G)</f>
        <v>-20</v>
      </c>
      <c r="W37" s="19"/>
      <c r="X37" s="19"/>
    </row>
    <row r="38" spans="1:24" x14ac:dyDescent="0.25">
      <c r="A38" s="24" t="s">
        <v>72</v>
      </c>
      <c r="B38" s="19">
        <f t="shared" si="27"/>
        <v>0</v>
      </c>
      <c r="C38" s="19">
        <f t="shared" si="28"/>
        <v>0</v>
      </c>
      <c r="D38" s="19">
        <f t="shared" si="29"/>
        <v>0</v>
      </c>
      <c r="E38" s="12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27" t="e">
        <f t="shared" si="21"/>
        <v>#DIV/0!</v>
      </c>
      <c r="V38" s="21">
        <f>LOOKUP(A38,HandicapValues!H:H,HandicapValues!G:G)</f>
        <v>-5</v>
      </c>
      <c r="W38" s="12"/>
      <c r="X38" s="12"/>
    </row>
    <row r="39" spans="1:24" x14ac:dyDescent="0.25">
      <c r="A39" s="24" t="s">
        <v>87</v>
      </c>
      <c r="B39" s="19">
        <f t="shared" si="27"/>
        <v>0</v>
      </c>
      <c r="C39" s="19">
        <f t="shared" si="28"/>
        <v>0</v>
      </c>
      <c r="D39" s="19">
        <f t="shared" si="29"/>
        <v>0</v>
      </c>
      <c r="E39" s="19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8" t="e">
        <f t="shared" si="21"/>
        <v>#DIV/0!</v>
      </c>
      <c r="V39" s="21">
        <f>LOOKUP(A39,HandicapValues!H:H,HandicapValues!G:G)</f>
        <v>55</v>
      </c>
      <c r="W39" s="19"/>
      <c r="X39" s="19"/>
    </row>
    <row r="40" spans="1:24" x14ac:dyDescent="0.25">
      <c r="A40" s="18"/>
      <c r="B40" s="19">
        <f t="shared" si="27"/>
        <v>0</v>
      </c>
      <c r="C40" s="19">
        <f t="shared" si="28"/>
        <v>0</v>
      </c>
      <c r="D40" s="19">
        <f t="shared" si="29"/>
        <v>0</v>
      </c>
      <c r="E40" s="19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47"/>
      <c r="V40" s="21"/>
      <c r="W40" s="19"/>
      <c r="X40" s="19"/>
    </row>
    <row r="41" spans="1:24" x14ac:dyDescent="0.25">
      <c r="A41" s="25" t="s">
        <v>168</v>
      </c>
      <c r="B41" s="15">
        <f>SUM(B42:B49)</f>
        <v>0</v>
      </c>
      <c r="C41" s="15">
        <f>SUM(C42:C49)</f>
        <v>0</v>
      </c>
      <c r="D41" s="15">
        <f>SUM(B41-C41)</f>
        <v>0</v>
      </c>
      <c r="E41" s="15"/>
      <c r="F41" s="16">
        <f t="shared" ref="F41:T41" si="30">COUNTIF(F42:F45,"w")</f>
        <v>0</v>
      </c>
      <c r="G41" s="16">
        <f t="shared" si="30"/>
        <v>0</v>
      </c>
      <c r="H41" s="16">
        <f t="shared" si="30"/>
        <v>0</v>
      </c>
      <c r="I41" s="16">
        <f t="shared" si="30"/>
        <v>0</v>
      </c>
      <c r="J41" s="16">
        <f t="shared" si="30"/>
        <v>0</v>
      </c>
      <c r="K41" s="16">
        <f t="shared" si="30"/>
        <v>0</v>
      </c>
      <c r="L41" s="16">
        <f t="shared" si="30"/>
        <v>0</v>
      </c>
      <c r="M41" s="16">
        <f t="shared" si="30"/>
        <v>0</v>
      </c>
      <c r="N41" s="16">
        <f t="shared" si="30"/>
        <v>0</v>
      </c>
      <c r="O41" s="16">
        <f t="shared" si="30"/>
        <v>0</v>
      </c>
      <c r="P41" s="16">
        <f t="shared" si="30"/>
        <v>0</v>
      </c>
      <c r="Q41" s="16">
        <f t="shared" si="30"/>
        <v>0</v>
      </c>
      <c r="R41" s="16">
        <f t="shared" si="30"/>
        <v>0</v>
      </c>
      <c r="S41" s="16">
        <f t="shared" si="30"/>
        <v>0</v>
      </c>
      <c r="T41" s="16">
        <f t="shared" si="30"/>
        <v>0</v>
      </c>
      <c r="U41" s="15"/>
      <c r="V41" s="15"/>
      <c r="W41" s="15"/>
      <c r="X41" s="15"/>
    </row>
    <row r="42" spans="1:24" x14ac:dyDescent="0.25">
      <c r="A42" s="24" t="s">
        <v>56</v>
      </c>
      <c r="B42" s="19">
        <f>COUNTIF(F42:T42,"w")</f>
        <v>0</v>
      </c>
      <c r="C42" s="19">
        <f>COUNTIF(F42:T42,"l")</f>
        <v>0</v>
      </c>
      <c r="D42" s="19">
        <f>SUM(B42-C42)</f>
        <v>0</v>
      </c>
      <c r="E42" s="19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7" t="e">
        <f t="shared" si="21"/>
        <v>#DIV/0!</v>
      </c>
      <c r="V42" s="21">
        <f>LOOKUP(A42,HandicapValues!H:H,HandicapValues!G:G)</f>
        <v>-70</v>
      </c>
      <c r="W42" s="19"/>
      <c r="X42" s="19"/>
    </row>
    <row r="43" spans="1:24" x14ac:dyDescent="0.25">
      <c r="A43" s="24" t="s">
        <v>78</v>
      </c>
      <c r="B43" s="19">
        <f t="shared" ref="B43:B45" si="31">COUNTIF(F43:T43,"w")</f>
        <v>0</v>
      </c>
      <c r="C43" s="19">
        <f t="shared" ref="C43:C45" si="32">COUNTIF(F43:T43,"l")</f>
        <v>0</v>
      </c>
      <c r="D43" s="19">
        <f t="shared" ref="D43:D45" si="33">SUM(B43-C43)</f>
        <v>0</v>
      </c>
      <c r="E43" s="12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28" t="e">
        <f t="shared" si="21"/>
        <v>#DIV/0!</v>
      </c>
      <c r="V43" s="21">
        <f>LOOKUP(A43,HandicapValues!H:H,HandicapValues!G:G)</f>
        <v>-35</v>
      </c>
      <c r="W43" s="12"/>
      <c r="X43" s="12"/>
    </row>
    <row r="44" spans="1:24" x14ac:dyDescent="0.25">
      <c r="A44" s="24" t="s">
        <v>76</v>
      </c>
      <c r="B44" s="19">
        <f t="shared" si="31"/>
        <v>0</v>
      </c>
      <c r="C44" s="19">
        <f t="shared" si="32"/>
        <v>0</v>
      </c>
      <c r="D44" s="19">
        <f t="shared" si="33"/>
        <v>0</v>
      </c>
      <c r="E44" s="12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27" t="e">
        <f t="shared" si="21"/>
        <v>#DIV/0!</v>
      </c>
      <c r="V44" s="21">
        <f>LOOKUP(A44,HandicapValues!H:H,HandicapValues!G:G)</f>
        <v>-20</v>
      </c>
      <c r="W44" s="12"/>
      <c r="X44" s="12"/>
    </row>
    <row r="45" spans="1:24" x14ac:dyDescent="0.25">
      <c r="A45" s="24" t="s">
        <v>55</v>
      </c>
      <c r="B45" s="19">
        <f t="shared" si="31"/>
        <v>0</v>
      </c>
      <c r="C45" s="19">
        <f t="shared" si="32"/>
        <v>0</v>
      </c>
      <c r="D45" s="19">
        <f t="shared" si="33"/>
        <v>0</v>
      </c>
      <c r="E45" s="19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8" t="e">
        <f t="shared" si="21"/>
        <v>#DIV/0!</v>
      </c>
      <c r="V45" s="21">
        <f>LOOKUP(A45,HandicapValues!H:H,HandicapValues!G:G)</f>
        <v>-10</v>
      </c>
      <c r="W45" s="19"/>
      <c r="X45" s="19"/>
    </row>
    <row r="46" spans="1:24" x14ac:dyDescent="0.25">
      <c r="A46" s="24" t="s">
        <v>94</v>
      </c>
      <c r="B46" s="19">
        <f t="shared" ref="B46:B49" si="34">COUNTIF(F46:T46,"w")</f>
        <v>0</v>
      </c>
      <c r="C46" s="19">
        <f t="shared" ref="C46:C49" si="35">COUNTIF(F46:T46,"l")</f>
        <v>0</v>
      </c>
      <c r="D46" s="19">
        <f t="shared" ref="D46:D49" si="36">SUM(B46-C46)</f>
        <v>0</v>
      </c>
      <c r="E46" s="19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8" t="e">
        <f t="shared" ref="U46:U48" si="37">B46/(B46+C46)</f>
        <v>#DIV/0!</v>
      </c>
      <c r="V46" s="21">
        <f>LOOKUP(A46,HandicapValues!H:H,HandicapValues!G:G)</f>
        <v>-15</v>
      </c>
    </row>
    <row r="47" spans="1:24" x14ac:dyDescent="0.25">
      <c r="A47" s="24" t="s">
        <v>75</v>
      </c>
      <c r="B47" s="19">
        <f t="shared" si="34"/>
        <v>0</v>
      </c>
      <c r="C47" s="19">
        <f t="shared" si="35"/>
        <v>0</v>
      </c>
      <c r="D47" s="19">
        <f t="shared" si="36"/>
        <v>0</v>
      </c>
      <c r="E47" s="19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8" t="e">
        <f t="shared" si="37"/>
        <v>#DIV/0!</v>
      </c>
      <c r="V47" s="21">
        <f>LOOKUP(A47,HandicapValues!H:H,HandicapValues!G:G)</f>
        <v>-5</v>
      </c>
    </row>
    <row r="48" spans="1:24" x14ac:dyDescent="0.25">
      <c r="A48" s="24" t="s">
        <v>74</v>
      </c>
      <c r="B48" s="19">
        <f t="shared" si="34"/>
        <v>0</v>
      </c>
      <c r="C48" s="19">
        <f t="shared" si="35"/>
        <v>0</v>
      </c>
      <c r="D48" s="19">
        <f t="shared" si="36"/>
        <v>0</v>
      </c>
      <c r="E48" s="19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8" t="e">
        <f t="shared" si="37"/>
        <v>#DIV/0!</v>
      </c>
      <c r="V48" s="21">
        <f>LOOKUP(A48,HandicapValues!H:H,HandicapValues!G:G)</f>
        <v>50</v>
      </c>
    </row>
    <row r="49" spans="1:24" x14ac:dyDescent="0.25">
      <c r="A49" s="18"/>
      <c r="B49" s="19">
        <f t="shared" si="34"/>
        <v>0</v>
      </c>
      <c r="C49" s="19">
        <f t="shared" si="35"/>
        <v>0</v>
      </c>
      <c r="D49" s="19">
        <f t="shared" si="36"/>
        <v>0</v>
      </c>
      <c r="E49" s="19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47"/>
      <c r="V49" s="21"/>
      <c r="W49" s="19"/>
      <c r="X49" s="19"/>
    </row>
    <row r="50" spans="1:24" x14ac:dyDescent="0.25">
      <c r="A50" s="25"/>
      <c r="B50" s="15"/>
      <c r="C50" s="15"/>
      <c r="D50" s="15"/>
      <c r="E50" s="15"/>
      <c r="F50" s="16">
        <f t="shared" ref="F50:T50" si="38">COUNTIF(F51:F54,"w")</f>
        <v>0</v>
      </c>
      <c r="G50" s="16">
        <f t="shared" si="38"/>
        <v>0</v>
      </c>
      <c r="H50" s="16">
        <f t="shared" si="38"/>
        <v>0</v>
      </c>
      <c r="I50" s="16">
        <f t="shared" si="38"/>
        <v>0</v>
      </c>
      <c r="J50" s="16">
        <f t="shared" si="38"/>
        <v>0</v>
      </c>
      <c r="K50" s="16">
        <f t="shared" si="38"/>
        <v>0</v>
      </c>
      <c r="L50" s="16">
        <f t="shared" si="38"/>
        <v>0</v>
      </c>
      <c r="M50" s="16">
        <f t="shared" si="38"/>
        <v>0</v>
      </c>
      <c r="N50" s="16">
        <f t="shared" si="38"/>
        <v>0</v>
      </c>
      <c r="O50" s="16">
        <f t="shared" si="38"/>
        <v>0</v>
      </c>
      <c r="P50" s="16">
        <f t="shared" si="38"/>
        <v>0</v>
      </c>
      <c r="Q50" s="16">
        <f t="shared" si="38"/>
        <v>0</v>
      </c>
      <c r="R50" s="16">
        <f t="shared" si="38"/>
        <v>0</v>
      </c>
      <c r="S50" s="16">
        <f t="shared" si="38"/>
        <v>0</v>
      </c>
      <c r="T50" s="16">
        <f t="shared" si="38"/>
        <v>0</v>
      </c>
      <c r="U50" s="15"/>
      <c r="V50" s="15"/>
      <c r="W50" s="15"/>
      <c r="X50" s="15"/>
    </row>
  </sheetData>
  <sortState xmlns:xlrd2="http://schemas.microsoft.com/office/spreadsheetml/2017/richdata2" ref="A21:X27">
    <sortCondition ref="V21:V27"/>
  </sortState>
  <conditionalFormatting sqref="A29:T32 B42:T45 W42:X45 A35:T39 A42:A48 A21:X27 V29:X32 V35:X39 V42:V48 A12:X19 A6:X10 A33:X33 A40:X40 A49:X49">
    <cfRule type="expression" dxfId="1" priority="4">
      <formula>MOD(ROW(),2)=0</formula>
    </cfRule>
  </conditionalFormatting>
  <conditionalFormatting sqref="B46:T48">
    <cfRule type="expression" dxfId="0" priority="1">
      <formula>MOD(ROW(),2)=0</formula>
    </cfRule>
  </conditionalFormatting>
  <pageMargins left="0.7" right="0.7" top="0.75" bottom="0.75" header="0.3" footer="0.3"/>
  <pageSetup scale="80" fitToHeight="0" orientation="landscape" r:id="rId1"/>
  <ignoredErrors>
    <ignoredError sqref="B12 B20:C20" formula="1"/>
    <ignoredError sqref="U18 U21:U26 U29:U32 U35:U39 U42:U45 U12:U15" evalErro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2BBD7-13C7-42EF-813C-30E795B8063C}">
  <dimension ref="A1:H11"/>
  <sheetViews>
    <sheetView workbookViewId="0">
      <selection activeCell="C14" sqref="C14"/>
    </sheetView>
  </sheetViews>
  <sheetFormatPr defaultRowHeight="15" x14ac:dyDescent="0.25"/>
  <cols>
    <col min="1" max="1" width="17.7109375" customWidth="1"/>
    <col min="2" max="8" width="15.7109375" customWidth="1"/>
  </cols>
  <sheetData>
    <row r="1" spans="1:8" x14ac:dyDescent="0.25">
      <c r="A1" s="66" t="s">
        <v>43</v>
      </c>
      <c r="B1" s="66" t="s">
        <v>170</v>
      </c>
      <c r="C1" s="66" t="s">
        <v>171</v>
      </c>
      <c r="D1" s="66" t="s">
        <v>172</v>
      </c>
      <c r="E1" s="66" t="s">
        <v>173</v>
      </c>
      <c r="F1" s="66" t="s">
        <v>174</v>
      </c>
      <c r="G1" s="66" t="s">
        <v>175</v>
      </c>
      <c r="H1" s="66" t="s">
        <v>176</v>
      </c>
    </row>
    <row r="2" spans="1:8" x14ac:dyDescent="0.25">
      <c r="A2" s="36" t="s">
        <v>148</v>
      </c>
      <c r="B2" s="37" t="s">
        <v>58</v>
      </c>
      <c r="C2" s="37" t="s">
        <v>60</v>
      </c>
      <c r="D2" s="37" t="s">
        <v>136</v>
      </c>
      <c r="E2" s="37" t="s">
        <v>61</v>
      </c>
    </row>
    <row r="3" spans="1:8" x14ac:dyDescent="0.25">
      <c r="A3" s="36" t="s">
        <v>147</v>
      </c>
      <c r="B3" s="62" t="s">
        <v>143</v>
      </c>
      <c r="C3" s="62" t="s">
        <v>139</v>
      </c>
      <c r="D3" s="62" t="s">
        <v>138</v>
      </c>
      <c r="E3" s="62" t="s">
        <v>140</v>
      </c>
      <c r="F3" s="62" t="s">
        <v>141</v>
      </c>
      <c r="G3" s="62" t="s">
        <v>142</v>
      </c>
      <c r="H3" s="62" t="s">
        <v>137</v>
      </c>
    </row>
    <row r="4" spans="1:8" x14ac:dyDescent="0.25">
      <c r="A4" s="36" t="s">
        <v>45</v>
      </c>
      <c r="B4" s="38" t="s">
        <v>66</v>
      </c>
      <c r="C4" s="38" t="s">
        <v>62</v>
      </c>
      <c r="D4" s="38" t="s">
        <v>64</v>
      </c>
      <c r="E4" s="38" t="s">
        <v>63</v>
      </c>
      <c r="F4" s="60" t="s">
        <v>65</v>
      </c>
      <c r="G4" s="59" t="s">
        <v>68</v>
      </c>
    </row>
    <row r="5" spans="1:8" x14ac:dyDescent="0.25">
      <c r="A5" s="36" t="s">
        <v>44</v>
      </c>
      <c r="B5" s="31" t="s">
        <v>69</v>
      </c>
      <c r="C5" s="37" t="s">
        <v>67</v>
      </c>
      <c r="D5" s="37" t="s">
        <v>71</v>
      </c>
      <c r="E5" s="37" t="s">
        <v>70</v>
      </c>
    </row>
    <row r="6" spans="1:8" x14ac:dyDescent="0.25">
      <c r="A6" s="36" t="s">
        <v>145</v>
      </c>
      <c r="B6" s="38" t="s">
        <v>85</v>
      </c>
      <c r="C6" s="31" t="s">
        <v>86</v>
      </c>
      <c r="D6" s="37" t="s">
        <v>77</v>
      </c>
      <c r="E6" s="38" t="s">
        <v>72</v>
      </c>
      <c r="F6" s="37" t="s">
        <v>87</v>
      </c>
    </row>
    <row r="7" spans="1:8" x14ac:dyDescent="0.25">
      <c r="A7" s="36" t="s">
        <v>146</v>
      </c>
      <c r="B7" s="37" t="s">
        <v>56</v>
      </c>
      <c r="C7" s="37" t="s">
        <v>78</v>
      </c>
      <c r="D7" s="38" t="s">
        <v>76</v>
      </c>
      <c r="E7" s="37" t="s">
        <v>55</v>
      </c>
      <c r="F7" s="61" t="s">
        <v>94</v>
      </c>
      <c r="G7" s="37" t="s">
        <v>75</v>
      </c>
      <c r="H7" s="60" t="s">
        <v>74</v>
      </c>
    </row>
    <row r="9" spans="1:8" x14ac:dyDescent="0.25">
      <c r="A9" s="67" t="s">
        <v>177</v>
      </c>
    </row>
    <row r="10" spans="1:8" x14ac:dyDescent="0.25">
      <c r="A10" s="67" t="s">
        <v>179</v>
      </c>
    </row>
    <row r="11" spans="1:8" x14ac:dyDescent="0.25">
      <c r="A11" s="67" t="s">
        <v>178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33"/>
  <sheetViews>
    <sheetView tabSelected="1" topLeftCell="A8" workbookViewId="0">
      <selection activeCell="A5" sqref="A5:I10"/>
    </sheetView>
  </sheetViews>
  <sheetFormatPr defaultRowHeight="15" x14ac:dyDescent="0.25"/>
  <cols>
    <col min="1" max="9" width="14.7109375" customWidth="1"/>
  </cols>
  <sheetData>
    <row r="1" spans="1:9" ht="66" customHeight="1" x14ac:dyDescent="0.25"/>
    <row r="2" spans="1:9" ht="18.75" x14ac:dyDescent="0.3">
      <c r="A2" s="31"/>
      <c r="B2" s="32"/>
      <c r="C2" s="70" t="s">
        <v>169</v>
      </c>
    </row>
    <row r="3" spans="1:9" ht="18.75" x14ac:dyDescent="0.3">
      <c r="A3" s="31"/>
      <c r="B3" s="32"/>
      <c r="C3" s="31"/>
      <c r="E3" s="70"/>
    </row>
    <row r="4" spans="1:9" ht="15.95" customHeight="1" x14ac:dyDescent="0.25">
      <c r="A4" s="50" t="s">
        <v>43</v>
      </c>
      <c r="B4" s="51" t="s">
        <v>99</v>
      </c>
      <c r="C4" s="51" t="s">
        <v>100</v>
      </c>
      <c r="D4" s="51" t="s">
        <v>101</v>
      </c>
      <c r="E4" s="51" t="s">
        <v>102</v>
      </c>
      <c r="F4" s="51" t="s">
        <v>135</v>
      </c>
      <c r="G4" s="90" t="s">
        <v>103</v>
      </c>
      <c r="H4" s="51" t="s">
        <v>104</v>
      </c>
      <c r="I4" s="51" t="s">
        <v>105</v>
      </c>
    </row>
    <row r="5" spans="1:9" ht="15.95" customHeight="1" x14ac:dyDescent="0.25">
      <c r="A5" s="52" t="s">
        <v>44</v>
      </c>
      <c r="B5" s="88">
        <v>1</v>
      </c>
      <c r="C5" s="88">
        <v>0</v>
      </c>
      <c r="D5" s="89">
        <v>4</v>
      </c>
      <c r="E5" s="89">
        <v>0</v>
      </c>
      <c r="F5" s="88">
        <f>SUM(B5*2+D5*2)</f>
        <v>10</v>
      </c>
      <c r="G5" s="88">
        <v>1240</v>
      </c>
      <c r="H5" s="88">
        <v>883</v>
      </c>
      <c r="I5" s="55">
        <f>G5/H5</f>
        <v>1.4043035107587769</v>
      </c>
    </row>
    <row r="6" spans="1:9" ht="15.95" customHeight="1" x14ac:dyDescent="0.25">
      <c r="A6" s="52" t="s">
        <v>148</v>
      </c>
      <c r="B6" s="88">
        <v>1</v>
      </c>
      <c r="C6" s="88">
        <v>0</v>
      </c>
      <c r="D6" s="89">
        <v>4</v>
      </c>
      <c r="E6" s="89">
        <v>0</v>
      </c>
      <c r="F6" s="88">
        <f>SUM(B6*2+D6*2)</f>
        <v>10</v>
      </c>
      <c r="G6" s="88">
        <v>1028</v>
      </c>
      <c r="H6" s="88">
        <v>894</v>
      </c>
      <c r="I6" s="55">
        <f>G6/H6</f>
        <v>1.1498881431767338</v>
      </c>
    </row>
    <row r="7" spans="1:9" ht="15.95" customHeight="1" x14ac:dyDescent="0.25">
      <c r="A7" s="52" t="s">
        <v>146</v>
      </c>
      <c r="B7" s="88">
        <v>1</v>
      </c>
      <c r="C7" s="88">
        <v>0</v>
      </c>
      <c r="D7" s="89">
        <v>3</v>
      </c>
      <c r="E7" s="89">
        <v>1</v>
      </c>
      <c r="F7" s="88">
        <f>SUM(B7*2+D7*2)</f>
        <v>8</v>
      </c>
      <c r="G7" s="88">
        <v>1094</v>
      </c>
      <c r="H7" s="88">
        <v>893</v>
      </c>
      <c r="I7" s="57">
        <f>G7/H7</f>
        <v>1.2250839865621501</v>
      </c>
    </row>
    <row r="8" spans="1:9" ht="15.95" customHeight="1" x14ac:dyDescent="0.25">
      <c r="A8" s="52" t="s">
        <v>45</v>
      </c>
      <c r="B8" s="88">
        <v>0</v>
      </c>
      <c r="C8" s="88">
        <v>1</v>
      </c>
      <c r="D8" s="89">
        <v>1</v>
      </c>
      <c r="E8" s="89">
        <v>3</v>
      </c>
      <c r="F8" s="88">
        <f>SUM(B8*2+D8*2)</f>
        <v>2</v>
      </c>
      <c r="G8" s="88">
        <v>893</v>
      </c>
      <c r="H8" s="88">
        <v>1094</v>
      </c>
      <c r="I8" s="55">
        <f>G8/H8</f>
        <v>0.81627056672760512</v>
      </c>
    </row>
    <row r="9" spans="1:9" ht="15.95" customHeight="1" x14ac:dyDescent="0.25">
      <c r="A9" s="52" t="s">
        <v>145</v>
      </c>
      <c r="B9" s="88">
        <v>0</v>
      </c>
      <c r="C9" s="88">
        <v>1</v>
      </c>
      <c r="D9" s="89">
        <v>0</v>
      </c>
      <c r="E9" s="89">
        <v>4</v>
      </c>
      <c r="F9" s="88">
        <f>SUM(B9*2+D9*2)</f>
        <v>0</v>
      </c>
      <c r="G9" s="88">
        <v>894</v>
      </c>
      <c r="H9" s="88">
        <v>1028</v>
      </c>
      <c r="I9" s="57">
        <f>G9/H9</f>
        <v>0.86964980544747084</v>
      </c>
    </row>
    <row r="10" spans="1:9" ht="15.95" customHeight="1" x14ac:dyDescent="0.25">
      <c r="A10" s="52" t="s">
        <v>147</v>
      </c>
      <c r="B10" s="88">
        <v>0</v>
      </c>
      <c r="C10" s="88">
        <v>1</v>
      </c>
      <c r="D10" s="89">
        <v>0</v>
      </c>
      <c r="E10" s="89">
        <v>4</v>
      </c>
      <c r="F10" s="88">
        <f>SUM(B10*2+D10*2)</f>
        <v>0</v>
      </c>
      <c r="G10" s="88">
        <v>883</v>
      </c>
      <c r="H10" s="88">
        <v>1240</v>
      </c>
      <c r="I10" s="55">
        <f>G10/H10</f>
        <v>0.71209677419354833</v>
      </c>
    </row>
    <row r="11" spans="1:9" x14ac:dyDescent="0.25">
      <c r="A11" s="31"/>
      <c r="B11" s="49"/>
      <c r="C11" s="49"/>
    </row>
    <row r="12" spans="1:9" x14ac:dyDescent="0.25">
      <c r="A12" s="31"/>
      <c r="B12" s="31"/>
      <c r="C12" s="31"/>
    </row>
    <row r="13" spans="1:9" ht="18" x14ac:dyDescent="0.25">
      <c r="A13" s="70" t="s">
        <v>82</v>
      </c>
      <c r="B13" s="31"/>
      <c r="C13" s="31"/>
    </row>
    <row r="14" spans="1:9" ht="18" x14ac:dyDescent="0.25">
      <c r="A14" s="78" t="s">
        <v>181</v>
      </c>
      <c r="B14" s="75" t="s">
        <v>148</v>
      </c>
      <c r="C14" s="71">
        <v>4</v>
      </c>
      <c r="D14" s="68" t="s">
        <v>177</v>
      </c>
      <c r="E14" s="75" t="s">
        <v>145</v>
      </c>
      <c r="F14" s="71">
        <v>0</v>
      </c>
      <c r="G14" s="78" t="s">
        <v>181</v>
      </c>
      <c r="I14" s="77"/>
    </row>
    <row r="15" spans="1:9" x14ac:dyDescent="0.25">
      <c r="A15" s="79" t="s">
        <v>185</v>
      </c>
      <c r="B15" s="74" t="s">
        <v>136</v>
      </c>
      <c r="C15" s="78">
        <v>279</v>
      </c>
      <c r="D15" s="72" t="s">
        <v>177</v>
      </c>
      <c r="E15" s="74" t="s">
        <v>85</v>
      </c>
      <c r="F15" s="78">
        <v>255</v>
      </c>
      <c r="G15" s="77" t="s">
        <v>184</v>
      </c>
      <c r="I15" s="77"/>
    </row>
    <row r="16" spans="1:9" x14ac:dyDescent="0.25">
      <c r="A16" s="77" t="s">
        <v>186</v>
      </c>
      <c r="B16" s="74" t="s">
        <v>60</v>
      </c>
      <c r="C16" s="78">
        <v>243</v>
      </c>
      <c r="D16" s="72" t="s">
        <v>177</v>
      </c>
      <c r="E16" s="74" t="s">
        <v>77</v>
      </c>
      <c r="F16" s="78">
        <v>213</v>
      </c>
      <c r="I16" s="77"/>
    </row>
    <row r="17" spans="1:9" x14ac:dyDescent="0.25">
      <c r="A17" s="77" t="s">
        <v>187</v>
      </c>
      <c r="B17" s="74" t="s">
        <v>58</v>
      </c>
      <c r="C17" s="78">
        <v>262</v>
      </c>
      <c r="D17" s="72" t="s">
        <v>177</v>
      </c>
      <c r="E17" s="74" t="s">
        <v>72</v>
      </c>
      <c r="F17" s="78">
        <v>230</v>
      </c>
      <c r="I17" s="77"/>
    </row>
    <row r="18" spans="1:9" x14ac:dyDescent="0.25">
      <c r="A18" s="31"/>
      <c r="B18" s="74" t="s">
        <v>61</v>
      </c>
      <c r="C18" s="78">
        <v>244</v>
      </c>
      <c r="D18" s="72" t="s">
        <v>177</v>
      </c>
      <c r="E18" s="74" t="s">
        <v>87</v>
      </c>
      <c r="F18" s="78">
        <v>196</v>
      </c>
      <c r="G18" s="78"/>
      <c r="H18" s="77"/>
      <c r="I18" s="77"/>
    </row>
    <row r="19" spans="1:9" x14ac:dyDescent="0.25">
      <c r="A19" s="31"/>
      <c r="B19" s="34"/>
      <c r="C19" s="78">
        <f>SUM(C15:C18)</f>
        <v>1028</v>
      </c>
      <c r="F19" s="78">
        <f>SUM(F15:F18)</f>
        <v>894</v>
      </c>
      <c r="G19" s="78"/>
      <c r="H19" s="77"/>
      <c r="I19" s="77"/>
    </row>
    <row r="20" spans="1:9" x14ac:dyDescent="0.25">
      <c r="A20" s="31"/>
      <c r="B20" s="31"/>
      <c r="C20" s="31"/>
      <c r="G20" s="78"/>
      <c r="H20" s="77"/>
      <c r="I20" s="77"/>
    </row>
    <row r="21" spans="1:9" ht="18" x14ac:dyDescent="0.25">
      <c r="A21" s="31"/>
      <c r="B21" s="75" t="s">
        <v>146</v>
      </c>
      <c r="C21" s="71">
        <v>3</v>
      </c>
      <c r="D21" s="68" t="s">
        <v>177</v>
      </c>
      <c r="E21" s="75" t="s">
        <v>45</v>
      </c>
      <c r="F21" s="71">
        <v>1</v>
      </c>
      <c r="G21" s="86"/>
      <c r="H21" s="78"/>
      <c r="I21" s="77"/>
    </row>
    <row r="22" spans="1:9" x14ac:dyDescent="0.25">
      <c r="A22" s="31"/>
      <c r="B22" s="74" t="s">
        <v>78</v>
      </c>
      <c r="C22" s="78">
        <v>301</v>
      </c>
      <c r="D22" s="72" t="s">
        <v>177</v>
      </c>
      <c r="E22" s="74" t="s">
        <v>66</v>
      </c>
      <c r="F22" s="78">
        <v>195</v>
      </c>
      <c r="G22" s="78"/>
      <c r="H22" s="77"/>
      <c r="I22" s="77"/>
    </row>
    <row r="23" spans="1:9" x14ac:dyDescent="0.25">
      <c r="A23" s="79">
        <v>25</v>
      </c>
      <c r="B23" s="74" t="s">
        <v>76</v>
      </c>
      <c r="C23" s="78">
        <v>310</v>
      </c>
      <c r="D23" s="72" t="s">
        <v>177</v>
      </c>
      <c r="E23" s="74" t="s">
        <v>62</v>
      </c>
      <c r="F23" s="78">
        <v>207</v>
      </c>
      <c r="G23" s="77" t="s">
        <v>188</v>
      </c>
      <c r="I23" s="77"/>
    </row>
    <row r="24" spans="1:9" x14ac:dyDescent="0.25">
      <c r="A24" s="31"/>
      <c r="B24" s="74" t="s">
        <v>94</v>
      </c>
      <c r="C24" s="78">
        <v>211</v>
      </c>
      <c r="D24" s="72" t="s">
        <v>178</v>
      </c>
      <c r="E24" s="74" t="s">
        <v>64</v>
      </c>
      <c r="F24" s="78">
        <v>223</v>
      </c>
      <c r="G24" s="78"/>
      <c r="H24" s="77"/>
      <c r="I24" s="77"/>
    </row>
    <row r="25" spans="1:9" x14ac:dyDescent="0.25">
      <c r="A25" s="31"/>
      <c r="B25" s="74" t="s">
        <v>55</v>
      </c>
      <c r="C25" s="78">
        <v>272</v>
      </c>
      <c r="D25" s="72" t="s">
        <v>177</v>
      </c>
      <c r="E25" s="74" t="s">
        <v>65</v>
      </c>
      <c r="F25" s="78">
        <v>268</v>
      </c>
      <c r="G25" s="78"/>
      <c r="H25" s="77"/>
      <c r="I25" s="77"/>
    </row>
    <row r="26" spans="1:9" x14ac:dyDescent="0.25">
      <c r="A26" s="31"/>
      <c r="B26" s="35"/>
      <c r="C26" s="79">
        <f>SUM(C22:C25)</f>
        <v>1094</v>
      </c>
      <c r="E26" s="76"/>
      <c r="F26" s="78">
        <f>SUM(F22:F25)</f>
        <v>893</v>
      </c>
      <c r="G26" s="78"/>
      <c r="H26" s="77"/>
      <c r="I26" s="77"/>
    </row>
    <row r="27" spans="1:9" x14ac:dyDescent="0.25">
      <c r="A27" s="31"/>
      <c r="B27" s="87"/>
      <c r="C27" s="87"/>
      <c r="E27" s="76"/>
      <c r="F27" s="76"/>
      <c r="G27" s="78"/>
      <c r="H27" s="77"/>
      <c r="I27" s="77"/>
    </row>
    <row r="28" spans="1:9" ht="18" x14ac:dyDescent="0.25">
      <c r="A28" s="31"/>
      <c r="B28" s="75" t="s">
        <v>44</v>
      </c>
      <c r="C28" s="71">
        <v>4</v>
      </c>
      <c r="D28" s="68" t="s">
        <v>177</v>
      </c>
      <c r="E28" s="75" t="s">
        <v>147</v>
      </c>
      <c r="F28" s="71">
        <v>0</v>
      </c>
      <c r="G28" s="71"/>
      <c r="H28" s="78"/>
      <c r="I28" s="77"/>
    </row>
    <row r="29" spans="1:9" x14ac:dyDescent="0.25">
      <c r="A29" s="77" t="s">
        <v>191</v>
      </c>
      <c r="B29" s="74" t="s">
        <v>69</v>
      </c>
      <c r="C29" s="78">
        <v>354</v>
      </c>
      <c r="D29" s="72" t="s">
        <v>177</v>
      </c>
      <c r="E29" s="74" t="s">
        <v>143</v>
      </c>
      <c r="F29" s="78">
        <v>262</v>
      </c>
      <c r="G29" s="77" t="s">
        <v>189</v>
      </c>
      <c r="I29" s="77"/>
    </row>
    <row r="30" spans="1:9" x14ac:dyDescent="0.25">
      <c r="A30" s="31"/>
      <c r="B30" s="74" t="s">
        <v>70</v>
      </c>
      <c r="C30" s="78">
        <v>335</v>
      </c>
      <c r="D30" s="72" t="s">
        <v>177</v>
      </c>
      <c r="E30" s="74" t="s">
        <v>139</v>
      </c>
      <c r="F30" s="78">
        <v>252</v>
      </c>
      <c r="G30" s="77" t="s">
        <v>190</v>
      </c>
      <c r="I30" s="77"/>
    </row>
    <row r="31" spans="1:9" x14ac:dyDescent="0.25">
      <c r="A31" s="31"/>
      <c r="B31" s="74" t="s">
        <v>71</v>
      </c>
      <c r="C31" s="78">
        <v>291</v>
      </c>
      <c r="D31" s="72" t="s">
        <v>177</v>
      </c>
      <c r="E31" s="74" t="s">
        <v>138</v>
      </c>
      <c r="F31" s="78">
        <v>233</v>
      </c>
      <c r="G31" s="78"/>
      <c r="H31" s="77"/>
      <c r="I31" s="77"/>
    </row>
    <row r="32" spans="1:9" x14ac:dyDescent="0.25">
      <c r="A32" s="31"/>
      <c r="B32" s="74" t="s">
        <v>67</v>
      </c>
      <c r="C32" s="78">
        <v>260</v>
      </c>
      <c r="D32" s="72" t="s">
        <v>177</v>
      </c>
      <c r="E32" s="74" t="s">
        <v>142</v>
      </c>
      <c r="F32" s="78">
        <v>136</v>
      </c>
      <c r="G32" s="78"/>
      <c r="H32" s="77"/>
      <c r="I32" s="77"/>
    </row>
    <row r="33" spans="1:6" x14ac:dyDescent="0.25">
      <c r="A33" s="31"/>
      <c r="B33" s="31"/>
      <c r="C33" s="79">
        <f>SUM(C29:C32)</f>
        <v>1240</v>
      </c>
      <c r="F33" s="79">
        <f>SUM(F29:F32)</f>
        <v>883</v>
      </c>
    </row>
  </sheetData>
  <pageMargins left="0.7" right="0.7" top="0.75" bottom="0.75" header="0.3" footer="0.3"/>
  <pageSetup scale="91" orientation="landscape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promptTitle="Team" prompt="Select Team" xr:uid="{9CF3714D-C9F0-4ECB-B81E-765F18240F3E}">
          <x14:formula1>
            <xm:f>Teams!$A$2:$A$7</xm:f>
          </x14:formula1>
          <xm:sqref>B14 B21 B28</xm:sqref>
        </x14:dataValidation>
        <x14:dataValidation type="list" allowBlank="1" showInputMessage="1" showErrorMessage="1" xr:uid="{2859DAAA-C37E-41E8-B941-C8B5FF99A985}">
          <x14:formula1>
            <xm:f>Teams!$A$9:$A$11</xm:f>
          </x14:formula1>
          <xm:sqref>D14:D18 D21:D25 D28:D32</xm:sqref>
        </x14:dataValidation>
        <x14:dataValidation type="list" allowBlank="1" showInputMessage="1" showErrorMessage="1" xr:uid="{44D32BDD-80E8-42DF-A4CC-4759C067C325}">
          <x14:formula1>
            <xm:f>Teams!$A$2:$A$7</xm:f>
          </x14:formula1>
          <xm:sqref>E14 E21 E28 A5:A10</xm:sqref>
        </x14:dataValidation>
        <x14:dataValidation type="list" allowBlank="1" showInputMessage="1" showErrorMessage="1" xr:uid="{4DFEB94A-7976-4867-9842-8619601A48E1}">
          <x14:formula1>
            <xm:f>Teams!$B$2:$H$2</xm:f>
          </x14:formula1>
          <xm:sqref>B15:B18</xm:sqref>
        </x14:dataValidation>
        <x14:dataValidation type="list" allowBlank="1" showInputMessage="1" showErrorMessage="1" xr:uid="{08F3049A-24F6-4CE5-A46A-FBDC82F52FE3}">
          <x14:formula1>
            <xm:f>Teams!$B$4:$H$4</xm:f>
          </x14:formula1>
          <xm:sqref>E22:E25</xm:sqref>
        </x14:dataValidation>
        <x14:dataValidation type="list" allowBlank="1" showInputMessage="1" showErrorMessage="1" xr:uid="{1F3CF806-2C51-4E33-BFCA-318F3FD24883}">
          <x14:formula1>
            <xm:f>Teams!$B$7:$H$7</xm:f>
          </x14:formula1>
          <xm:sqref>B22:B25</xm:sqref>
        </x14:dataValidation>
        <x14:dataValidation type="list" allowBlank="1" showInputMessage="1" showErrorMessage="1" xr:uid="{19DD8793-A1B8-4BD8-9D92-04BD1871D4E7}">
          <x14:formula1>
            <xm:f>Teams!$B$6:$H$6</xm:f>
          </x14:formula1>
          <xm:sqref>E15:E18</xm:sqref>
        </x14:dataValidation>
        <x14:dataValidation type="list" allowBlank="1" showInputMessage="1" showErrorMessage="1" xr:uid="{626490C2-9647-4EDA-A5C6-E27BE70E286A}">
          <x14:formula1>
            <xm:f>Teams!$B$5:$H$5</xm:f>
          </x14:formula1>
          <xm:sqref>B29:B32</xm:sqref>
        </x14:dataValidation>
        <x14:dataValidation type="list" allowBlank="1" showInputMessage="1" showErrorMessage="1" xr:uid="{AF74A391-4124-47EB-893C-FE4588E4C235}">
          <x14:formula1>
            <xm:f>Teams!$B$3:$H$3</xm:f>
          </x14:formula1>
          <xm:sqref>E29:E32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D9941-9310-495D-B7E0-37051509475D}">
  <sheetPr>
    <pageSetUpPr fitToPage="1"/>
  </sheetPr>
  <dimension ref="A1:I32"/>
  <sheetViews>
    <sheetView topLeftCell="A17" workbookViewId="0">
      <selection activeCell="K31" sqref="K31"/>
    </sheetView>
  </sheetViews>
  <sheetFormatPr defaultRowHeight="15" x14ac:dyDescent="0.25"/>
  <cols>
    <col min="1" max="9" width="14.7109375" customWidth="1"/>
  </cols>
  <sheetData>
    <row r="1" spans="1:9" ht="66" customHeight="1" x14ac:dyDescent="0.25"/>
    <row r="2" spans="1:9" ht="18.75" x14ac:dyDescent="0.3">
      <c r="A2" s="31"/>
      <c r="B2" s="32"/>
      <c r="C2" s="31"/>
      <c r="E2" t="s">
        <v>169</v>
      </c>
    </row>
    <row r="3" spans="1:9" ht="15.95" customHeight="1" x14ac:dyDescent="0.25">
      <c r="A3" s="50" t="s">
        <v>43</v>
      </c>
      <c r="B3" s="51" t="s">
        <v>99</v>
      </c>
      <c r="C3" s="51" t="s">
        <v>100</v>
      </c>
      <c r="D3" s="51" t="s">
        <v>101</v>
      </c>
      <c r="E3" s="51" t="s">
        <v>102</v>
      </c>
      <c r="F3" s="51" t="s">
        <v>135</v>
      </c>
      <c r="G3" s="51" t="s">
        <v>103</v>
      </c>
      <c r="H3" s="51" t="s">
        <v>104</v>
      </c>
      <c r="I3" s="51" t="s">
        <v>105</v>
      </c>
    </row>
    <row r="4" spans="1:9" ht="15.95" customHeight="1" x14ac:dyDescent="0.25">
      <c r="A4" s="52" t="s">
        <v>57</v>
      </c>
      <c r="B4" s="53"/>
      <c r="C4" s="53"/>
      <c r="D4" s="54"/>
      <c r="E4" s="54"/>
      <c r="F4" s="53">
        <f t="shared" ref="F4:F9" si="0">SUM(B4*2+D4*2)</f>
        <v>0</v>
      </c>
      <c r="G4" s="53"/>
      <c r="H4" s="53"/>
      <c r="I4" s="55" t="e">
        <f t="shared" ref="I4:I9" si="1">G4/H4</f>
        <v>#DIV/0!</v>
      </c>
    </row>
    <row r="5" spans="1:9" ht="15.95" customHeight="1" x14ac:dyDescent="0.25">
      <c r="A5" s="52" t="s">
        <v>44</v>
      </c>
      <c r="B5" s="53"/>
      <c r="C5" s="53"/>
      <c r="D5" s="54"/>
      <c r="E5" s="54"/>
      <c r="F5" s="53">
        <f t="shared" si="0"/>
        <v>0</v>
      </c>
      <c r="G5" s="53"/>
      <c r="H5" s="53"/>
      <c r="I5" s="55" t="e">
        <f t="shared" si="1"/>
        <v>#DIV/0!</v>
      </c>
    </row>
    <row r="6" spans="1:9" ht="15.95" customHeight="1" x14ac:dyDescent="0.25">
      <c r="A6" s="52" t="s">
        <v>84</v>
      </c>
      <c r="B6" s="53"/>
      <c r="C6" s="53"/>
      <c r="D6" s="54"/>
      <c r="E6" s="54"/>
      <c r="F6" s="53">
        <f t="shared" si="0"/>
        <v>0</v>
      </c>
      <c r="G6" s="53"/>
      <c r="H6" s="53"/>
      <c r="I6" s="55" t="e">
        <f t="shared" si="1"/>
        <v>#DIV/0!</v>
      </c>
    </row>
    <row r="7" spans="1:9" ht="15.95" customHeight="1" x14ac:dyDescent="0.25">
      <c r="A7" s="52" t="s">
        <v>45</v>
      </c>
      <c r="B7" s="53"/>
      <c r="C7" s="53"/>
      <c r="D7" s="54"/>
      <c r="E7" s="54"/>
      <c r="F7" s="53">
        <f t="shared" si="0"/>
        <v>0</v>
      </c>
      <c r="G7" s="53"/>
      <c r="H7" s="53"/>
      <c r="I7" s="55" t="e">
        <f t="shared" si="1"/>
        <v>#DIV/0!</v>
      </c>
    </row>
    <row r="8" spans="1:9" ht="15.95" customHeight="1" x14ac:dyDescent="0.25">
      <c r="A8" s="56" t="s">
        <v>83</v>
      </c>
      <c r="B8" s="53"/>
      <c r="C8" s="53"/>
      <c r="D8" s="54"/>
      <c r="E8" s="54"/>
      <c r="F8" s="53">
        <f t="shared" si="0"/>
        <v>0</v>
      </c>
      <c r="G8" s="53"/>
      <c r="H8" s="53"/>
      <c r="I8" s="57" t="e">
        <f t="shared" si="1"/>
        <v>#DIV/0!</v>
      </c>
    </row>
    <row r="9" spans="1:9" ht="15.95" customHeight="1" x14ac:dyDescent="0.25">
      <c r="A9" s="56" t="s">
        <v>46</v>
      </c>
      <c r="B9" s="53"/>
      <c r="C9" s="53"/>
      <c r="D9" s="54"/>
      <c r="E9" s="54"/>
      <c r="F9" s="53">
        <f t="shared" si="0"/>
        <v>0</v>
      </c>
      <c r="G9" s="53"/>
      <c r="H9" s="53"/>
      <c r="I9" s="57" t="e">
        <f t="shared" si="1"/>
        <v>#DIV/0!</v>
      </c>
    </row>
    <row r="10" spans="1:9" x14ac:dyDescent="0.25">
      <c r="A10" s="31"/>
      <c r="B10" s="49"/>
      <c r="C10" s="49"/>
    </row>
    <row r="11" spans="1:9" x14ac:dyDescent="0.25">
      <c r="A11" s="31"/>
      <c r="B11" s="31"/>
      <c r="C11" s="31"/>
    </row>
    <row r="12" spans="1:9" ht="18.75" x14ac:dyDescent="0.3">
      <c r="A12" s="33" t="s">
        <v>82</v>
      </c>
      <c r="B12" s="31"/>
      <c r="C12" s="31"/>
    </row>
    <row r="13" spans="1:9" ht="15.75" x14ac:dyDescent="0.25">
      <c r="A13" s="31"/>
      <c r="B13" s="83" t="s">
        <v>148</v>
      </c>
      <c r="C13" s="84"/>
      <c r="D13" s="68" t="s">
        <v>177</v>
      </c>
      <c r="E13" s="83" t="s">
        <v>145</v>
      </c>
      <c r="F13" s="81"/>
      <c r="G13" s="66" t="s">
        <v>180</v>
      </c>
      <c r="H13" s="82" t="s">
        <v>181</v>
      </c>
      <c r="I13" s="81"/>
    </row>
    <row r="14" spans="1:9" x14ac:dyDescent="0.25">
      <c r="A14" s="31"/>
      <c r="B14" s="85" t="s">
        <v>136</v>
      </c>
      <c r="C14" s="84"/>
      <c r="D14" s="69" t="s">
        <v>177</v>
      </c>
      <c r="E14" s="84" t="s">
        <v>85</v>
      </c>
      <c r="F14" s="84"/>
      <c r="H14" s="81"/>
      <c r="I14" s="81"/>
    </row>
    <row r="15" spans="1:9" x14ac:dyDescent="0.25">
      <c r="A15" s="31"/>
      <c r="B15" s="85" t="s">
        <v>60</v>
      </c>
      <c r="C15" s="84"/>
      <c r="D15" s="69" t="s">
        <v>177</v>
      </c>
      <c r="E15" s="84" t="s">
        <v>86</v>
      </c>
      <c r="F15" s="84"/>
      <c r="H15" s="81"/>
      <c r="I15" s="81"/>
    </row>
    <row r="16" spans="1:9" x14ac:dyDescent="0.25">
      <c r="A16" s="31"/>
      <c r="B16" s="85" t="s">
        <v>58</v>
      </c>
      <c r="C16" s="84"/>
      <c r="D16" s="69" t="s">
        <v>177</v>
      </c>
      <c r="E16" s="84" t="s">
        <v>77</v>
      </c>
      <c r="F16" s="84"/>
      <c r="H16" s="81"/>
      <c r="I16" s="81"/>
    </row>
    <row r="17" spans="1:9" x14ac:dyDescent="0.25">
      <c r="A17" s="31"/>
      <c r="B17" s="85" t="s">
        <v>61</v>
      </c>
      <c r="C17" s="84"/>
      <c r="D17" s="69" t="s">
        <v>177</v>
      </c>
      <c r="E17" s="84" t="s">
        <v>72</v>
      </c>
      <c r="F17" s="84"/>
      <c r="H17" s="81"/>
      <c r="I17" s="81"/>
    </row>
    <row r="18" spans="1:9" x14ac:dyDescent="0.25">
      <c r="A18" s="31"/>
      <c r="B18" s="34"/>
      <c r="C18" s="31"/>
    </row>
    <row r="19" spans="1:9" x14ac:dyDescent="0.25">
      <c r="A19" s="31"/>
      <c r="B19" s="31"/>
      <c r="C19" s="31"/>
    </row>
    <row r="20" spans="1:9" ht="15.75" x14ac:dyDescent="0.25">
      <c r="A20" s="31"/>
      <c r="B20" s="83" t="s">
        <v>146</v>
      </c>
      <c r="C20" s="84"/>
      <c r="D20" s="68" t="s">
        <v>177</v>
      </c>
      <c r="E20" s="83" t="s">
        <v>45</v>
      </c>
      <c r="F20" s="81"/>
      <c r="G20" s="66" t="s">
        <v>180</v>
      </c>
      <c r="H20" s="82" t="s">
        <v>181</v>
      </c>
      <c r="I20" s="81"/>
    </row>
    <row r="21" spans="1:9" x14ac:dyDescent="0.25">
      <c r="A21" s="31"/>
      <c r="B21" s="85" t="s">
        <v>56</v>
      </c>
      <c r="C21" s="84"/>
      <c r="D21" s="69" t="s">
        <v>177</v>
      </c>
      <c r="E21" s="84" t="s">
        <v>66</v>
      </c>
      <c r="F21" s="84"/>
      <c r="H21" s="81"/>
      <c r="I21" s="81"/>
    </row>
    <row r="22" spans="1:9" x14ac:dyDescent="0.25">
      <c r="A22" s="31"/>
      <c r="B22" s="85" t="s">
        <v>78</v>
      </c>
      <c r="C22" s="84"/>
      <c r="D22" s="69" t="s">
        <v>177</v>
      </c>
      <c r="E22" s="84" t="s">
        <v>62</v>
      </c>
      <c r="F22" s="84"/>
      <c r="H22" s="81"/>
      <c r="I22" s="81"/>
    </row>
    <row r="23" spans="1:9" x14ac:dyDescent="0.25">
      <c r="A23" s="31"/>
      <c r="B23" s="85" t="s">
        <v>76</v>
      </c>
      <c r="C23" s="84"/>
      <c r="D23" s="69" t="s">
        <v>177</v>
      </c>
      <c r="E23" s="84" t="s">
        <v>64</v>
      </c>
      <c r="F23" s="84"/>
      <c r="H23" s="81"/>
      <c r="I23" s="81"/>
    </row>
    <row r="24" spans="1:9" x14ac:dyDescent="0.25">
      <c r="A24" s="31"/>
      <c r="B24" s="85" t="s">
        <v>75</v>
      </c>
      <c r="C24" s="84"/>
      <c r="D24" s="69" t="s">
        <v>177</v>
      </c>
      <c r="E24" s="84" t="s">
        <v>65</v>
      </c>
      <c r="F24" s="84"/>
      <c r="H24" s="81"/>
      <c r="I24" s="81"/>
    </row>
    <row r="25" spans="1:9" x14ac:dyDescent="0.25">
      <c r="A25" s="31"/>
      <c r="B25" s="35"/>
      <c r="C25" s="31"/>
    </row>
    <row r="26" spans="1:9" x14ac:dyDescent="0.25">
      <c r="A26" s="31"/>
      <c r="B26" s="31"/>
      <c r="C26" s="31"/>
    </row>
    <row r="27" spans="1:9" ht="15.75" x14ac:dyDescent="0.25">
      <c r="A27" s="31"/>
      <c r="B27" s="83" t="s">
        <v>44</v>
      </c>
      <c r="C27" s="84"/>
      <c r="D27" s="68" t="s">
        <v>177</v>
      </c>
      <c r="E27" s="83" t="s">
        <v>147</v>
      </c>
      <c r="F27" s="81"/>
      <c r="G27" s="66" t="s">
        <v>180</v>
      </c>
      <c r="H27" s="82" t="s">
        <v>181</v>
      </c>
      <c r="I27" s="81"/>
    </row>
    <row r="28" spans="1:9" x14ac:dyDescent="0.25">
      <c r="A28" s="31"/>
      <c r="B28" s="85" t="s">
        <v>69</v>
      </c>
      <c r="C28" s="84"/>
      <c r="D28" s="69" t="s">
        <v>177</v>
      </c>
      <c r="E28" s="84" t="s">
        <v>143</v>
      </c>
      <c r="F28" s="84"/>
      <c r="H28" s="81"/>
      <c r="I28" s="81"/>
    </row>
    <row r="29" spans="1:9" x14ac:dyDescent="0.25">
      <c r="A29" s="31"/>
      <c r="B29" s="85" t="s">
        <v>67</v>
      </c>
      <c r="C29" s="84"/>
      <c r="D29" s="69" t="s">
        <v>177</v>
      </c>
      <c r="E29" s="84" t="s">
        <v>139</v>
      </c>
      <c r="F29" s="84"/>
      <c r="H29" s="81"/>
      <c r="I29" s="81"/>
    </row>
    <row r="30" spans="1:9" x14ac:dyDescent="0.25">
      <c r="A30" s="31"/>
      <c r="B30" s="85" t="s">
        <v>71</v>
      </c>
      <c r="C30" s="84"/>
      <c r="D30" s="69" t="s">
        <v>177</v>
      </c>
      <c r="E30" s="84" t="s">
        <v>138</v>
      </c>
      <c r="F30" s="84"/>
      <c r="H30" s="81"/>
      <c r="I30" s="81"/>
    </row>
    <row r="31" spans="1:9" x14ac:dyDescent="0.25">
      <c r="A31" s="31"/>
      <c r="B31" s="85" t="s">
        <v>70</v>
      </c>
      <c r="C31" s="84"/>
      <c r="D31" s="69" t="s">
        <v>177</v>
      </c>
      <c r="E31" s="84" t="s">
        <v>140</v>
      </c>
      <c r="F31" s="84"/>
      <c r="H31" s="81"/>
      <c r="I31" s="81"/>
    </row>
    <row r="32" spans="1:9" x14ac:dyDescent="0.25">
      <c r="A32" s="31"/>
      <c r="B32" s="31"/>
      <c r="C32" s="31"/>
    </row>
  </sheetData>
  <mergeCells count="45">
    <mergeCell ref="B13:C13"/>
    <mergeCell ref="E13:F13"/>
    <mergeCell ref="H13:I13"/>
    <mergeCell ref="B14:C14"/>
    <mergeCell ref="E14:F14"/>
    <mergeCell ref="H14:I14"/>
    <mergeCell ref="B15:C15"/>
    <mergeCell ref="E15:F15"/>
    <mergeCell ref="H15:I15"/>
    <mergeCell ref="B16:C16"/>
    <mergeCell ref="E16:F16"/>
    <mergeCell ref="H16:I16"/>
    <mergeCell ref="B17:C17"/>
    <mergeCell ref="E17:F17"/>
    <mergeCell ref="H17:I17"/>
    <mergeCell ref="B20:C20"/>
    <mergeCell ref="E20:F20"/>
    <mergeCell ref="H20:I20"/>
    <mergeCell ref="B21:C21"/>
    <mergeCell ref="E21:F21"/>
    <mergeCell ref="H21:I21"/>
    <mergeCell ref="B22:C22"/>
    <mergeCell ref="E22:F22"/>
    <mergeCell ref="H22:I22"/>
    <mergeCell ref="B23:C23"/>
    <mergeCell ref="E23:F23"/>
    <mergeCell ref="H23:I23"/>
    <mergeCell ref="B24:C24"/>
    <mergeCell ref="E24:F24"/>
    <mergeCell ref="H24:I24"/>
    <mergeCell ref="B27:C27"/>
    <mergeCell ref="E27:F27"/>
    <mergeCell ref="H27:I27"/>
    <mergeCell ref="B28:C28"/>
    <mergeCell ref="E28:F28"/>
    <mergeCell ref="H28:I28"/>
    <mergeCell ref="B31:C31"/>
    <mergeCell ref="E31:F31"/>
    <mergeCell ref="H31:I31"/>
    <mergeCell ref="B29:C29"/>
    <mergeCell ref="E29:F29"/>
    <mergeCell ref="H29:I29"/>
    <mergeCell ref="B30:C30"/>
    <mergeCell ref="E30:F30"/>
    <mergeCell ref="H30:I30"/>
  </mergeCells>
  <pageMargins left="0.7" right="0.7" top="0.75" bottom="0.75" header="0.3" footer="0.3"/>
  <pageSetup scale="92" orientation="landscape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9EAD5B39-5B97-4D37-8FFC-F3E75B87FBF5}">
          <x14:formula1>
            <xm:f>Teams!$B$3:$H$3</xm:f>
          </x14:formula1>
          <xm:sqref>E28:F31</xm:sqref>
        </x14:dataValidation>
        <x14:dataValidation type="list" allowBlank="1" showInputMessage="1" showErrorMessage="1" xr:uid="{51E82764-461F-4BE8-97AE-AB6743197CB1}">
          <x14:formula1>
            <xm:f>Teams!$B$5:$H$5</xm:f>
          </x14:formula1>
          <xm:sqref>B28:C31</xm:sqref>
        </x14:dataValidation>
        <x14:dataValidation type="list" allowBlank="1" showInputMessage="1" showErrorMessage="1" xr:uid="{16CA2B25-0965-4EA0-97FF-E4D424C4BDE9}">
          <x14:formula1>
            <xm:f>Teams!$B$6:$H$6</xm:f>
          </x14:formula1>
          <xm:sqref>E14:F17</xm:sqref>
        </x14:dataValidation>
        <x14:dataValidation type="list" allowBlank="1" showInputMessage="1" showErrorMessage="1" xr:uid="{932B2F25-9719-437B-B498-9CEDE3AB4820}">
          <x14:formula1>
            <xm:f>Teams!$B$7:$H$7</xm:f>
          </x14:formula1>
          <xm:sqref>B21:C24</xm:sqref>
        </x14:dataValidation>
        <x14:dataValidation type="list" allowBlank="1" showInputMessage="1" showErrorMessage="1" xr:uid="{C857A81D-C41E-44E0-A930-4F8FC8415AB8}">
          <x14:formula1>
            <xm:f>Teams!$B$4:$H$4</xm:f>
          </x14:formula1>
          <xm:sqref>E21:F24</xm:sqref>
        </x14:dataValidation>
        <x14:dataValidation type="list" allowBlank="1" showInputMessage="1" showErrorMessage="1" xr:uid="{C1EC1381-6CC7-419F-AFA8-4E8EA439713F}">
          <x14:formula1>
            <xm:f>Teams!$B$2:$H$2</xm:f>
          </x14:formula1>
          <xm:sqref>B14:B17</xm:sqref>
        </x14:dataValidation>
        <x14:dataValidation type="list" allowBlank="1" showInputMessage="1" showErrorMessage="1" xr:uid="{6CF6C62D-33E7-4942-B577-2A0433DB4E27}">
          <x14:formula1>
            <xm:f>Teams!$A$2:$A$7</xm:f>
          </x14:formula1>
          <xm:sqref>E13 E20 E27</xm:sqref>
        </x14:dataValidation>
        <x14:dataValidation type="list" allowBlank="1" showInputMessage="1" showErrorMessage="1" xr:uid="{568A5FA7-152D-4618-9C6E-96099A017BF1}">
          <x14:formula1>
            <xm:f>Teams!$A$9:$A$11</xm:f>
          </x14:formula1>
          <xm:sqref>D13:D17 D20:D24 D27:D31</xm:sqref>
        </x14:dataValidation>
        <x14:dataValidation type="list" allowBlank="1" showInputMessage="1" showErrorMessage="1" promptTitle="Team" prompt="Select Team" xr:uid="{17622384-4E35-4B7C-AD48-0EFD2C1E9C10}">
          <x14:formula1>
            <xm:f>Teams!$A$2:$A$7</xm:f>
          </x14:formula1>
          <xm:sqref>B13 B20 B27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HandicapValues</vt:lpstr>
      <vt:lpstr>Handicaps</vt:lpstr>
      <vt:lpstr>BilliardStats</vt:lpstr>
      <vt:lpstr>Teams</vt:lpstr>
      <vt:lpstr>BilliardResults R1</vt:lpstr>
      <vt:lpstr>BilliardResults R2</vt:lpstr>
      <vt:lpstr>Handicaps!Print_Area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</dc:creator>
  <cp:lastModifiedBy>Neville Harty</cp:lastModifiedBy>
  <cp:lastPrinted>2022-07-28T14:18:39Z</cp:lastPrinted>
  <dcterms:created xsi:type="dcterms:W3CDTF">2020-11-26T12:40:41Z</dcterms:created>
  <dcterms:modified xsi:type="dcterms:W3CDTF">2022-07-28T14:35:31Z</dcterms:modified>
</cp:coreProperties>
</file>