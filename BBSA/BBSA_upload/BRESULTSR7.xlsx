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 filterPrivacy="1"/>
  <xr:revisionPtr revIDLastSave="0" documentId="13_ncr:1_{3D3548B3-33C6-4763-96A5-110CF4482BB8}" xr6:coauthVersionLast="43" xr6:coauthVersionMax="43" xr10:uidLastSave="{00000000-0000-0000-0000-000000000000}"/>
  <bookViews>
    <workbookView xWindow="-34470" yWindow="4820" windowWidth="28800" windowHeight="154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9" i="1" l="1"/>
  <c r="I8" i="1"/>
  <c r="F8" i="1"/>
  <c r="I7" i="1"/>
  <c r="F7" i="1"/>
  <c r="I9" i="1"/>
  <c r="F9" i="1"/>
  <c r="I6" i="1"/>
  <c r="F6" i="1"/>
  <c r="I4" i="1"/>
  <c r="F4" i="1"/>
  <c r="I5" i="1"/>
  <c r="F5" i="1"/>
  <c r="H10" i="1" l="1"/>
  <c r="G10" i="1"/>
  <c r="J5" i="1" l="1"/>
  <c r="J6" i="1" l="1"/>
  <c r="J7" i="1"/>
  <c r="J8" i="1"/>
  <c r="J4" i="1"/>
</calcChain>
</file>

<file path=xl/sharedStrings.xml><?xml version="1.0" encoding="utf-8"?>
<sst xmlns="http://schemas.openxmlformats.org/spreadsheetml/2006/main" count="35" uniqueCount="35">
  <si>
    <t xml:space="preserve">Matches Won  </t>
  </si>
  <si>
    <t>A.Williams</t>
  </si>
  <si>
    <t>OCC-1</t>
  </si>
  <si>
    <t>OCC-2</t>
  </si>
  <si>
    <t>Points Against</t>
  </si>
  <si>
    <t>VRI-Angwin</t>
  </si>
  <si>
    <t>VRI-Mac</t>
  </si>
  <si>
    <t>A-Wright</t>
  </si>
  <si>
    <t>Pts %</t>
  </si>
  <si>
    <t>Points For</t>
  </si>
  <si>
    <t>Matches Lost</t>
  </si>
  <si>
    <t>Team</t>
  </si>
  <si>
    <t>Games Won</t>
  </si>
  <si>
    <t>Games Lost</t>
  </si>
  <si>
    <t>Premiership Points</t>
  </si>
  <si>
    <t>BBSA Billiards 2019 - Round 7</t>
  </si>
  <si>
    <t>Round 7</t>
  </si>
  <si>
    <t>A-Williams 8 d OCC-1 2</t>
  </si>
  <si>
    <t>David Palmer lt John Lewis 199-303</t>
  </si>
  <si>
    <t>Mick Williams d Jason Crocker 236-202</t>
  </si>
  <si>
    <t>Greg Allison d John Grubb 245-211</t>
  </si>
  <si>
    <t>Gavin Wilson d Selwyn Lahey 181-166</t>
  </si>
  <si>
    <r>
      <t xml:space="preserve">Breaks: </t>
    </r>
    <r>
      <rPr>
        <b/>
        <sz val="8"/>
        <rFont val="Calibri"/>
        <family val="2"/>
      </rPr>
      <t>David Palmer</t>
    </r>
    <r>
      <rPr>
        <sz val="8"/>
        <rFont val="Calibri"/>
        <family val="2"/>
      </rPr>
      <t xml:space="preserve"> - 34, 30  </t>
    </r>
    <r>
      <rPr>
        <b/>
        <sz val="8"/>
        <rFont val="Calibri"/>
        <family val="2"/>
      </rPr>
      <t>Mick Williams</t>
    </r>
    <r>
      <rPr>
        <sz val="8"/>
        <rFont val="Calibri"/>
        <family val="2"/>
      </rPr>
      <t xml:space="preserve"> - 22, 28, 30  </t>
    </r>
    <r>
      <rPr>
        <b/>
        <sz val="8"/>
        <rFont val="Calibri"/>
        <family val="2"/>
      </rPr>
      <t>Greg Allison</t>
    </r>
    <r>
      <rPr>
        <sz val="8"/>
        <rFont val="Calibri"/>
        <family val="2"/>
      </rPr>
      <t xml:space="preserve"> - 20, 28 </t>
    </r>
    <r>
      <rPr>
        <b/>
        <sz val="8"/>
        <rFont val="Calibri"/>
        <family val="2"/>
      </rPr>
      <t xml:space="preserve"> John Lewis</t>
    </r>
    <r>
      <rPr>
        <sz val="8"/>
        <rFont val="Calibri"/>
        <family val="2"/>
      </rPr>
      <t xml:space="preserve"> - 22, 37, 31, 25, 20  </t>
    </r>
    <r>
      <rPr>
        <b/>
        <sz val="8"/>
        <rFont val="Calibri"/>
        <family val="2"/>
      </rPr>
      <t>Jason Crocker</t>
    </r>
    <r>
      <rPr>
        <sz val="8"/>
        <rFont val="Calibri"/>
        <family val="2"/>
      </rPr>
      <t xml:space="preserve"> - 22  </t>
    </r>
    <r>
      <rPr>
        <b/>
        <sz val="8"/>
        <rFont val="Calibri"/>
        <family val="2"/>
      </rPr>
      <t>John Grubb</t>
    </r>
    <r>
      <rPr>
        <sz val="8"/>
        <rFont val="Calibri"/>
        <family val="2"/>
      </rPr>
      <t xml:space="preserve"> - 23, 28</t>
    </r>
  </si>
  <si>
    <t>VRI-Angwin 8 d A-Wright 2</t>
  </si>
  <si>
    <t>Jason Colebrook d Graeme Wright 276-252</t>
  </si>
  <si>
    <t>Dale Bridges d Jason Smiley 220-167</t>
  </si>
  <si>
    <t>Ross Boag d Trevor Moore 209-177</t>
  </si>
  <si>
    <t>Jim Boag lt Ray Wilson 142-170</t>
  </si>
  <si>
    <r>
      <t xml:space="preserve">Breaks: </t>
    </r>
    <r>
      <rPr>
        <b/>
        <sz val="8"/>
        <rFont val="Calibri"/>
        <family val="2"/>
      </rPr>
      <t>Jason Colebrook</t>
    </r>
    <r>
      <rPr>
        <sz val="8"/>
        <rFont val="Calibri"/>
        <family val="2"/>
      </rPr>
      <t xml:space="preserve"> - 33, 28  </t>
    </r>
    <r>
      <rPr>
        <b/>
        <sz val="8"/>
        <rFont val="Calibri"/>
        <family val="2"/>
      </rPr>
      <t>Dale Bridges</t>
    </r>
    <r>
      <rPr>
        <sz val="8"/>
        <rFont val="Calibri"/>
        <family val="2"/>
      </rPr>
      <t xml:space="preserve"> - 22 </t>
    </r>
    <r>
      <rPr>
        <b/>
        <sz val="8"/>
        <rFont val="Calibri"/>
        <family val="2"/>
      </rPr>
      <t xml:space="preserve"> Graeme Wright</t>
    </r>
    <r>
      <rPr>
        <sz val="8"/>
        <rFont val="Calibri"/>
        <family val="2"/>
      </rPr>
      <t xml:space="preserve"> - 21, 33, 36</t>
    </r>
  </si>
  <si>
    <t>OCC-2 8 d VRI-Mac 2</t>
  </si>
  <si>
    <t>John Eltringham d Graeme Musgrove 285-264</t>
  </si>
  <si>
    <t>Geoff Challis lt Neville Harty 188-217</t>
  </si>
  <si>
    <t>Geoff Lockyer d Roger Jones 236-123</t>
  </si>
  <si>
    <t>Peter Oates d Andrew Spalding 185-160</t>
  </si>
  <si>
    <r>
      <t xml:space="preserve">Breaks: </t>
    </r>
    <r>
      <rPr>
        <b/>
        <sz val="8"/>
        <rFont val="Calibri"/>
        <family val="2"/>
      </rPr>
      <t>John Eltringham</t>
    </r>
    <r>
      <rPr>
        <sz val="8"/>
        <rFont val="Calibri"/>
        <family val="2"/>
      </rPr>
      <t xml:space="preserve"> - 21, 20, 20, 36  </t>
    </r>
    <r>
      <rPr>
        <b/>
        <sz val="8"/>
        <rFont val="Calibri"/>
        <family val="2"/>
      </rPr>
      <t>Graeme Musgrove</t>
    </r>
    <r>
      <rPr>
        <sz val="8"/>
        <rFont val="Calibri"/>
        <family val="2"/>
      </rPr>
      <t xml:space="preserve"> - 20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</si>
</sst>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;###0"/>
    <numFmt numFmtId="165" formatCode=";;;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8"/>
      <name val="Calibri"/>
      <family val="2"/>
    </font>
    <font>
      <sz val="8"/>
      <color theme="0"/>
      <name val="Calibri"/>
      <family val="2"/>
      <scheme val="minor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8"/>
      <name val="Calibri"/>
      <family val="2"/>
    </font>
    <font>
      <b/>
      <sz val="8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 vertical="top"/>
    </xf>
    <xf numFmtId="165" fontId="0" fillId="0" borderId="0" xfId="0" applyNumberFormat="1"/>
    <xf numFmtId="165" fontId="0" fillId="0" borderId="0" xfId="0" applyNumberFormat="1" applyAlignment="1">
      <alignment horizontal="left" vertical="top"/>
    </xf>
    <xf numFmtId="0" fontId="2" fillId="0" borderId="0" xfId="0" applyFont="1" applyFill="1" applyBorder="1" applyAlignment="1">
      <alignment horizontal="left" vertical="top" wrapText="1"/>
    </xf>
    <xf numFmtId="164" fontId="4" fillId="0" borderId="0" xfId="0" applyNumberFormat="1" applyFont="1" applyFill="1" applyBorder="1" applyAlignment="1">
      <alignment horizontal="right" vertical="top" wrapText="1"/>
    </xf>
    <xf numFmtId="1" fontId="4" fillId="0" borderId="0" xfId="0" applyNumberFormat="1" applyFont="1" applyFill="1" applyBorder="1" applyAlignment="1">
      <alignment horizontal="right" vertical="top" wrapText="1"/>
    </xf>
    <xf numFmtId="10" fontId="2" fillId="0" borderId="0" xfId="0" applyNumberFormat="1" applyFont="1" applyFill="1" applyBorder="1" applyAlignment="1">
      <alignment horizontal="right" vertical="top" wrapText="1"/>
    </xf>
    <xf numFmtId="0" fontId="7" fillId="2" borderId="0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right" vertical="top" wrapText="1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64" formatCode="###0;###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64" formatCode="###0;###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64" formatCode="###0;###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64" formatCode="###0;###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64" formatCode="###0;###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right" vertical="top" textRotation="0" wrapText="1" indent="0" justifyLastLine="0" shrinkToFit="0" readingOrder="0"/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/>
        </patternFill>
      </fill>
    </dxf>
    <dxf>
      <fill>
        <patternFill patternType="solid">
          <fgColor theme="4" tint="0.59996337778862885"/>
          <bgColor theme="4" tint="0.39994506668294322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ck">
          <color theme="3"/>
        </diagonal>
        <horizontal style="thin">
          <color auto="1"/>
        </horizontal>
      </border>
    </dxf>
  </dxfs>
  <tableStyles count="2" defaultTableStyle="TableStyleMedium2" defaultPivotStyle="PivotStyleLight16">
    <tableStyle name="Billiards" pivot="0" count="4" xr9:uid="{AA157DA8-52FD-4F39-A4B4-4FB3DD507468}">
      <tableStyleElement type="wholeTable" dxfId="22"/>
      <tableStyleElement type="headerRow" dxfId="21"/>
      <tableStyleElement type="firstRowStripe" size="4" dxfId="20"/>
      <tableStyleElement type="secondRowStripe" size="2" dxfId="19"/>
    </tableStyle>
    <tableStyle name="Modif" pivot="0" count="5" xr9:uid="{00000000-0011-0000-FFFF-FFFF00000000}">
      <tableStyleElement type="wholeTable" dxfId="18"/>
      <tableStyleElement type="headerRow" dxfId="17"/>
      <tableStyleElement type="totalRow" dxfId="16"/>
      <tableStyleElement type="firstRowStripe" size="4" dxfId="15"/>
      <tableStyleElement type="firstHeaderCell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3B1F6D-1288-43AA-9356-600855769A71}" name="Table3" displayName="Table3" ref="A3:I9" totalsRowShown="0" headerRowDxfId="10" dataDxfId="9">
  <autoFilter ref="A3:I9" xr:uid="{B6F3722B-6922-4378-8EDF-EF612FDB2AD8}"/>
  <sortState ref="A4:I9">
    <sortCondition descending="1" ref="F4:F9"/>
    <sortCondition descending="1" ref="I4:I9"/>
  </sortState>
  <tableColumns count="9">
    <tableColumn id="1" xr3:uid="{6DA5145F-BCF4-4D31-9784-80F4C78BCBD9}" name="Team" dataDxfId="8"/>
    <tableColumn id="2" xr3:uid="{8ED0F635-08C0-43E4-BD3B-509F5467F5AC}" name="Matches Won  " dataDxfId="7"/>
    <tableColumn id="3" xr3:uid="{B8D0FF3D-1E4A-4A7B-B02C-BF6E36CBFE37}" name="Matches Lost" dataDxfId="6"/>
    <tableColumn id="4" xr3:uid="{D904C082-978A-4DAD-8B94-BCC912720304}" name="Games Won" dataDxfId="5"/>
    <tableColumn id="5" xr3:uid="{C5C7B412-7ED1-4CDE-BA79-5965BCDC6000}" name="Games Lost" dataDxfId="4"/>
    <tableColumn id="6" xr3:uid="{5894775B-6C7B-4EEB-8EB1-82BD90E4AE61}" name="Premiership Points" dataDxfId="3">
      <calculatedColumnFormula>SUM(B4*2+D4*2)</calculatedColumnFormula>
    </tableColumn>
    <tableColumn id="7" xr3:uid="{61827D1D-88A5-4577-813E-C17B32CBC386}" name="Points For" dataDxfId="2"/>
    <tableColumn id="8" xr3:uid="{3A356176-5AEC-482C-983F-6579D26CDE68}" name="Points Against" dataDxfId="1"/>
    <tableColumn id="9" xr3:uid="{5221A267-96F1-4C26-B166-2E9FB51C0B8C}" name="Pts %" dataDxfId="0">
      <calculatedColumnFormula>G4/H4</calculatedColumnFormula>
    </tableColumn>
  </tableColumns>
  <tableStyleInfo name="Billiards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zoomScale="172" zoomScaleNormal="172" workbookViewId="0">
      <selection activeCell="F14" sqref="F14"/>
    </sheetView>
  </sheetViews>
  <sheetFormatPr defaultRowHeight="14.5" x14ac:dyDescent="0.35"/>
  <cols>
    <col min="1" max="1" width="7.7265625" customWidth="1"/>
    <col min="2" max="2" width="11.7265625" customWidth="1"/>
    <col min="6" max="6" width="14.81640625" customWidth="1"/>
    <col min="7" max="7" width="9.81640625" customWidth="1"/>
    <col min="8" max="8" width="12.1796875" customWidth="1"/>
    <col min="9" max="9" width="8.26953125" customWidth="1"/>
    <col min="11" max="19" width="9" customWidth="1"/>
  </cols>
  <sheetData>
    <row r="1" spans="1:10" x14ac:dyDescent="0.35">
      <c r="A1" s="1"/>
      <c r="B1" s="2"/>
      <c r="C1" s="2"/>
      <c r="D1" s="2"/>
      <c r="E1" s="2"/>
      <c r="F1" s="2"/>
      <c r="G1" s="2"/>
      <c r="H1" s="2"/>
    </row>
    <row r="2" spans="1:10" x14ac:dyDescent="0.35">
      <c r="A2" s="2"/>
      <c r="B2" s="2"/>
      <c r="E2" s="3" t="s">
        <v>15</v>
      </c>
      <c r="F2" s="2"/>
      <c r="G2" s="2"/>
    </row>
    <row r="3" spans="1:10" x14ac:dyDescent="0.35">
      <c r="A3" s="13" t="s">
        <v>11</v>
      </c>
      <c r="B3" s="14" t="s">
        <v>0</v>
      </c>
      <c r="C3" s="15" t="s">
        <v>10</v>
      </c>
      <c r="D3" s="14" t="s">
        <v>12</v>
      </c>
      <c r="E3" s="14" t="s">
        <v>13</v>
      </c>
      <c r="F3" s="14" t="s">
        <v>14</v>
      </c>
      <c r="G3" s="14" t="s">
        <v>9</v>
      </c>
      <c r="H3" s="14" t="s">
        <v>4</v>
      </c>
      <c r="I3" s="14" t="s">
        <v>8</v>
      </c>
    </row>
    <row r="4" spans="1:10" ht="16" customHeight="1" x14ac:dyDescent="0.35">
      <c r="A4" s="9" t="s">
        <v>3</v>
      </c>
      <c r="B4" s="10">
        <v>5</v>
      </c>
      <c r="C4" s="10">
        <v>1</v>
      </c>
      <c r="D4" s="11">
        <v>17</v>
      </c>
      <c r="E4" s="11">
        <v>7</v>
      </c>
      <c r="F4" s="10">
        <f>SUM(B4*2+D4*2)</f>
        <v>44</v>
      </c>
      <c r="G4" s="10">
        <v>6828</v>
      </c>
      <c r="H4" s="10">
        <v>5005</v>
      </c>
      <c r="I4" s="12">
        <f>G4/H4</f>
        <v>1.3642357642357643</v>
      </c>
      <c r="J4" s="7">
        <f>SUM(B4+C4)</f>
        <v>6</v>
      </c>
    </row>
    <row r="5" spans="1:10" ht="16" customHeight="1" x14ac:dyDescent="0.35">
      <c r="A5" s="9" t="s">
        <v>1</v>
      </c>
      <c r="B5" s="10">
        <v>6</v>
      </c>
      <c r="C5" s="10">
        <v>1</v>
      </c>
      <c r="D5" s="11">
        <v>15</v>
      </c>
      <c r="E5" s="11">
        <v>13</v>
      </c>
      <c r="F5" s="10">
        <f>SUM(B5*2+D5*2)</f>
        <v>42</v>
      </c>
      <c r="G5" s="10">
        <v>6036</v>
      </c>
      <c r="H5" s="10">
        <v>5947</v>
      </c>
      <c r="I5" s="12">
        <f>G5/H5</f>
        <v>1.0149655288380697</v>
      </c>
      <c r="J5" s="7">
        <f>SUM(B5+C5)</f>
        <v>7</v>
      </c>
    </row>
    <row r="6" spans="1:10" ht="16" customHeight="1" x14ac:dyDescent="0.35">
      <c r="A6" s="9" t="s">
        <v>6</v>
      </c>
      <c r="B6" s="10">
        <v>4</v>
      </c>
      <c r="C6" s="10">
        <v>2</v>
      </c>
      <c r="D6" s="11">
        <v>14</v>
      </c>
      <c r="E6" s="11">
        <v>10</v>
      </c>
      <c r="F6" s="10">
        <f>SUM(B6*2+D6*2)</f>
        <v>36</v>
      </c>
      <c r="G6" s="10">
        <v>5914</v>
      </c>
      <c r="H6" s="10">
        <v>5978</v>
      </c>
      <c r="I6" s="12">
        <f>G6/H6</f>
        <v>0.98929407828705251</v>
      </c>
      <c r="J6" s="7">
        <f t="shared" ref="J6:J9" si="0">SUM(B6+C6)</f>
        <v>6</v>
      </c>
    </row>
    <row r="7" spans="1:10" ht="16" customHeight="1" x14ac:dyDescent="0.35">
      <c r="A7" s="9" t="s">
        <v>2</v>
      </c>
      <c r="B7" s="10">
        <v>2</v>
      </c>
      <c r="C7" s="10">
        <v>5</v>
      </c>
      <c r="D7" s="11">
        <v>14</v>
      </c>
      <c r="E7" s="11">
        <v>14</v>
      </c>
      <c r="F7" s="10">
        <f>SUM(B7*2+D7*2)</f>
        <v>32</v>
      </c>
      <c r="G7" s="10">
        <v>6245</v>
      </c>
      <c r="H7" s="10">
        <v>6375</v>
      </c>
      <c r="I7" s="12">
        <f>G7/H7</f>
        <v>0.97960784313725491</v>
      </c>
      <c r="J7" s="7">
        <f t="shared" si="0"/>
        <v>7</v>
      </c>
    </row>
    <row r="8" spans="1:10" ht="16" customHeight="1" x14ac:dyDescent="0.35">
      <c r="A8" s="9" t="s">
        <v>5</v>
      </c>
      <c r="B8" s="10">
        <v>2</v>
      </c>
      <c r="C8" s="10">
        <v>5</v>
      </c>
      <c r="D8" s="11">
        <v>9</v>
      </c>
      <c r="E8" s="11">
        <v>19</v>
      </c>
      <c r="F8" s="10">
        <f>SUM(B8*2+D8*2)</f>
        <v>22</v>
      </c>
      <c r="G8" s="10">
        <v>5710</v>
      </c>
      <c r="H8" s="10">
        <v>6194</v>
      </c>
      <c r="I8" s="12">
        <f>G8/H8</f>
        <v>0.92185986438488865</v>
      </c>
      <c r="J8" s="7">
        <f t="shared" si="0"/>
        <v>7</v>
      </c>
    </row>
    <row r="9" spans="1:10" ht="16" customHeight="1" x14ac:dyDescent="0.35">
      <c r="A9" s="9" t="s">
        <v>7</v>
      </c>
      <c r="B9" s="10">
        <v>1</v>
      </c>
      <c r="C9" s="10">
        <v>6</v>
      </c>
      <c r="D9" s="11">
        <v>10</v>
      </c>
      <c r="E9" s="11">
        <v>18</v>
      </c>
      <c r="F9" s="10">
        <f>SUM(B9*2+D9*2)</f>
        <v>22</v>
      </c>
      <c r="G9" s="10">
        <v>5272</v>
      </c>
      <c r="H9" s="10">
        <v>6506</v>
      </c>
      <c r="I9" s="12">
        <f>G9/H9</f>
        <v>0.81032892714417459</v>
      </c>
      <c r="J9" s="7">
        <f t="shared" si="0"/>
        <v>7</v>
      </c>
    </row>
    <row r="10" spans="1:10" x14ac:dyDescent="0.35">
      <c r="A10" s="3" t="s">
        <v>16</v>
      </c>
      <c r="B10" s="4" t="s">
        <v>17</v>
      </c>
      <c r="C10" s="2"/>
      <c r="D10" s="2"/>
      <c r="E10" s="5"/>
      <c r="F10" s="5"/>
      <c r="G10" s="8">
        <f>SUM(G4:G9)</f>
        <v>36005</v>
      </c>
      <c r="H10" s="8">
        <f>SUM(H4:H9)</f>
        <v>36005</v>
      </c>
    </row>
    <row r="11" spans="1:10" x14ac:dyDescent="0.35">
      <c r="A11" s="2"/>
      <c r="B11" s="3" t="s">
        <v>18</v>
      </c>
      <c r="C11" s="2"/>
      <c r="D11" s="2"/>
      <c r="E11" s="2"/>
      <c r="F11" s="2"/>
      <c r="G11" s="2"/>
      <c r="H11" s="2"/>
    </row>
    <row r="12" spans="1:10" x14ac:dyDescent="0.35">
      <c r="A12" s="2"/>
      <c r="B12" s="3" t="s">
        <v>19</v>
      </c>
      <c r="C12" s="2"/>
      <c r="D12" s="2"/>
      <c r="E12" s="2"/>
      <c r="F12" s="2"/>
      <c r="G12" s="2"/>
      <c r="H12" s="2"/>
    </row>
    <row r="13" spans="1:10" x14ac:dyDescent="0.35">
      <c r="A13" s="2"/>
      <c r="B13" s="3" t="s">
        <v>20</v>
      </c>
      <c r="C13" s="2"/>
      <c r="D13" s="2"/>
      <c r="E13" s="2"/>
      <c r="F13" s="2"/>
      <c r="G13" s="2"/>
      <c r="H13" s="2"/>
    </row>
    <row r="14" spans="1:10" x14ac:dyDescent="0.35">
      <c r="A14" s="2"/>
      <c r="B14" s="3" t="s">
        <v>21</v>
      </c>
      <c r="C14" s="2"/>
      <c r="D14" s="2"/>
      <c r="E14" s="2"/>
      <c r="F14" s="2"/>
      <c r="G14" s="2"/>
      <c r="H14" s="2"/>
    </row>
    <row r="15" spans="1:10" x14ac:dyDescent="0.35">
      <c r="A15" s="2"/>
      <c r="B15" s="3" t="s">
        <v>22</v>
      </c>
      <c r="C15" s="2"/>
      <c r="D15" s="2"/>
      <c r="E15" s="2"/>
      <c r="F15" s="2"/>
      <c r="G15" s="2"/>
      <c r="H15" s="2"/>
    </row>
    <row r="16" spans="1:10" x14ac:dyDescent="0.35">
      <c r="A16" s="2"/>
      <c r="B16" s="16" t="s">
        <v>23</v>
      </c>
      <c r="C16" s="16"/>
      <c r="D16" s="2"/>
      <c r="E16" s="2"/>
      <c r="F16" s="2"/>
      <c r="G16" s="2"/>
      <c r="H16" s="2"/>
    </row>
    <row r="17" spans="1:8" x14ac:dyDescent="0.35">
      <c r="A17" s="2"/>
      <c r="B17" s="3" t="s">
        <v>24</v>
      </c>
      <c r="C17" s="2"/>
      <c r="D17" s="2"/>
      <c r="E17" s="2"/>
      <c r="F17" s="2"/>
      <c r="G17" s="2"/>
      <c r="H17" s="2"/>
    </row>
    <row r="18" spans="1:8" x14ac:dyDescent="0.35">
      <c r="A18" s="2"/>
      <c r="B18" s="3" t="s">
        <v>25</v>
      </c>
      <c r="C18" s="2"/>
      <c r="D18" s="2"/>
      <c r="E18" s="2"/>
      <c r="F18" s="2"/>
      <c r="G18" s="2"/>
      <c r="H18" s="2"/>
    </row>
    <row r="19" spans="1:8" x14ac:dyDescent="0.35">
      <c r="A19" s="2"/>
      <c r="B19" s="3" t="s">
        <v>26</v>
      </c>
      <c r="C19" s="2"/>
      <c r="D19" s="2"/>
      <c r="E19" s="2"/>
      <c r="F19" s="2"/>
      <c r="G19" s="2"/>
      <c r="H19" s="2"/>
    </row>
    <row r="20" spans="1:8" x14ac:dyDescent="0.35">
      <c r="A20" s="2"/>
      <c r="B20" s="3" t="s">
        <v>27</v>
      </c>
      <c r="C20" s="2"/>
      <c r="D20" s="2"/>
      <c r="E20" s="2"/>
      <c r="F20" s="2"/>
      <c r="G20" s="2"/>
      <c r="H20" s="2"/>
    </row>
    <row r="21" spans="1:8" x14ac:dyDescent="0.35">
      <c r="A21" s="2"/>
      <c r="B21" s="3" t="s">
        <v>28</v>
      </c>
      <c r="C21" s="2"/>
      <c r="D21" s="2"/>
      <c r="E21" s="2"/>
      <c r="F21" s="2"/>
      <c r="G21" s="2"/>
      <c r="H21" s="2"/>
    </row>
    <row r="22" spans="1:8" x14ac:dyDescent="0.35">
      <c r="A22" s="2"/>
      <c r="B22" s="6" t="s">
        <v>29</v>
      </c>
      <c r="C22" s="2"/>
      <c r="D22" s="2"/>
      <c r="E22" s="2"/>
      <c r="F22" s="2"/>
      <c r="G22" s="2"/>
      <c r="H22" s="2"/>
    </row>
    <row r="23" spans="1:8" x14ac:dyDescent="0.35">
      <c r="A23" s="2"/>
      <c r="B23" s="3" t="s">
        <v>30</v>
      </c>
      <c r="C23" s="2"/>
      <c r="D23" s="2"/>
      <c r="E23" s="2"/>
      <c r="F23" s="2"/>
      <c r="G23" s="2"/>
      <c r="H23" s="2"/>
    </row>
    <row r="24" spans="1:8" x14ac:dyDescent="0.35">
      <c r="A24" s="2"/>
      <c r="B24" s="3" t="s">
        <v>31</v>
      </c>
      <c r="C24" s="2"/>
      <c r="D24" s="2"/>
      <c r="E24" s="2"/>
      <c r="F24" s="2"/>
      <c r="G24" s="2"/>
      <c r="H24" s="2"/>
    </row>
    <row r="25" spans="1:8" x14ac:dyDescent="0.35">
      <c r="A25" s="2"/>
      <c r="B25" s="3" t="s">
        <v>32</v>
      </c>
      <c r="C25" s="2"/>
      <c r="D25" s="2"/>
      <c r="E25" s="2"/>
      <c r="F25" s="2"/>
      <c r="G25" s="2"/>
      <c r="H25" s="2"/>
    </row>
    <row r="26" spans="1:8" x14ac:dyDescent="0.35">
      <c r="A26" s="2"/>
      <c r="B26" s="17" t="s">
        <v>33</v>
      </c>
      <c r="C26" s="17"/>
      <c r="D26" s="17"/>
      <c r="E26" s="17"/>
      <c r="F26" s="17"/>
      <c r="G26" s="17"/>
      <c r="H26" s="2"/>
    </row>
    <row r="27" spans="1:8" x14ac:dyDescent="0.35">
      <c r="A27" s="2"/>
      <c r="B27" s="3" t="s">
        <v>34</v>
      </c>
      <c r="C27" s="2"/>
      <c r="D27" s="2"/>
      <c r="E27" s="2"/>
      <c r="F27" s="2"/>
      <c r="G27" s="2"/>
      <c r="H27" s="2"/>
    </row>
    <row r="28" spans="1:8" x14ac:dyDescent="0.35">
      <c r="A28" s="2"/>
      <c r="B28" s="6"/>
      <c r="C28" s="2"/>
      <c r="D28" s="2"/>
      <c r="E28" s="2"/>
      <c r="F28" s="2"/>
      <c r="G28" s="2"/>
      <c r="H28" s="2"/>
    </row>
    <row r="29" spans="1:8" x14ac:dyDescent="0.35">
      <c r="A29" s="2"/>
      <c r="B29" s="3"/>
      <c r="C29" s="2"/>
      <c r="D29" s="2"/>
      <c r="E29" s="2"/>
      <c r="F29" s="2"/>
      <c r="G29" s="2"/>
      <c r="H29" s="2"/>
    </row>
    <row r="30" spans="1:8" x14ac:dyDescent="0.35">
      <c r="A30" s="2"/>
      <c r="B30" s="3"/>
      <c r="C30" s="2"/>
      <c r="D30" s="2"/>
      <c r="E30" s="2"/>
      <c r="F30" s="2"/>
      <c r="G30" s="2"/>
      <c r="H30" s="2"/>
    </row>
    <row r="31" spans="1:8" x14ac:dyDescent="0.35">
      <c r="A31" s="2"/>
      <c r="B31" s="3"/>
      <c r="C31" s="2"/>
      <c r="D31" s="2"/>
      <c r="E31" s="2"/>
      <c r="F31" s="2"/>
      <c r="G31" s="2"/>
      <c r="H31" s="2"/>
    </row>
    <row r="32" spans="1:8" x14ac:dyDescent="0.35">
      <c r="A32" s="2"/>
      <c r="B32" s="3"/>
      <c r="C32" s="2"/>
      <c r="D32" s="2"/>
      <c r="E32" s="2"/>
      <c r="F32" s="2"/>
      <c r="G32" s="2"/>
      <c r="H32" s="2"/>
    </row>
    <row r="33" spans="1:8" x14ac:dyDescent="0.35">
      <c r="A33" s="2"/>
      <c r="B33" s="3"/>
      <c r="C33" s="2"/>
      <c r="D33" s="2"/>
      <c r="E33" s="2"/>
      <c r="F33" s="2"/>
      <c r="G33" s="2"/>
      <c r="H33" s="2"/>
    </row>
  </sheetData>
  <mergeCells count="2">
    <mergeCell ref="B16:C16"/>
    <mergeCell ref="B26:G26"/>
  </mergeCells>
  <conditionalFormatting sqref="J4:J9">
    <cfRule type="uniqueValues" dxfId="13" priority="5"/>
  </conditionalFormatting>
  <conditionalFormatting sqref="G10:H10">
    <cfRule type="uniqueValues" dxfId="12" priority="3"/>
  </conditionalFormatting>
  <conditionalFormatting sqref="A4:A7">
    <cfRule type="top10" dxfId="11" priority="2" rank="4"/>
  </conditionalFormatting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2019-08-16T06:12:47Z</dcterms:modified>
</cp:coreProperties>
</file>